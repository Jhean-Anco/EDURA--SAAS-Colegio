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DOCUMENTOS DIRECCIÓN\REGISTROS\I BIMESTRE\REG. AUXILIAR\"/>
    </mc:Choice>
  </mc:AlternateContent>
  <xr:revisionPtr revIDLastSave="0" documentId="13_ncr:1_{AE952BD9-D126-4261-B5B2-5B6D9FDB2F86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1°" sheetId="1" r:id="rId1"/>
    <sheet name="2°" sheetId="2" r:id="rId2"/>
    <sheet name="3° " sheetId="3" r:id="rId3"/>
    <sheet name="4° " sheetId="4" r:id="rId4"/>
    <sheet name="5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2" i="5" l="1"/>
  <c r="AL30" i="5"/>
  <c r="AQ30" i="5" s="1"/>
  <c r="AF30" i="5"/>
  <c r="AK30" i="5" s="1"/>
  <c r="AP30" i="5" s="1"/>
  <c r="Y30" i="5"/>
  <c r="AJ30" i="5" s="1"/>
  <c r="AO30" i="5" s="1"/>
  <c r="R30" i="5"/>
  <c r="AI30" i="5" s="1"/>
  <c r="AN30" i="5" s="1"/>
  <c r="K30" i="5"/>
  <c r="AH30" i="5" s="1"/>
  <c r="AM30" i="5" s="1"/>
  <c r="AL29" i="5"/>
  <c r="AQ29" i="5" s="1"/>
  <c r="AF29" i="5"/>
  <c r="AK29" i="5" s="1"/>
  <c r="AP29" i="5" s="1"/>
  <c r="Y29" i="5"/>
  <c r="AJ29" i="5" s="1"/>
  <c r="AO29" i="5" s="1"/>
  <c r="R29" i="5"/>
  <c r="AI29" i="5" s="1"/>
  <c r="AN29" i="5" s="1"/>
  <c r="K29" i="5"/>
  <c r="AH29" i="5" s="1"/>
  <c r="AM29" i="5" s="1"/>
  <c r="AL28" i="5"/>
  <c r="AQ28" i="5" s="1"/>
  <c r="AF28" i="5"/>
  <c r="AK28" i="5" s="1"/>
  <c r="AP28" i="5" s="1"/>
  <c r="Y28" i="5"/>
  <c r="AJ28" i="5" s="1"/>
  <c r="AO28" i="5" s="1"/>
  <c r="R28" i="5"/>
  <c r="AI28" i="5" s="1"/>
  <c r="AN28" i="5" s="1"/>
  <c r="K28" i="5"/>
  <c r="AH28" i="5" s="1"/>
  <c r="AM28" i="5" s="1"/>
  <c r="AL27" i="5"/>
  <c r="AQ27" i="5" s="1"/>
  <c r="AF27" i="5"/>
  <c r="AK27" i="5" s="1"/>
  <c r="AP27" i="5" s="1"/>
  <c r="Y27" i="5"/>
  <c r="AJ27" i="5" s="1"/>
  <c r="AO27" i="5" s="1"/>
  <c r="R27" i="5"/>
  <c r="AI27" i="5" s="1"/>
  <c r="AN27" i="5" s="1"/>
  <c r="K27" i="5"/>
  <c r="AH27" i="5" s="1"/>
  <c r="AM27" i="5" s="1"/>
  <c r="AL26" i="5"/>
  <c r="AQ26" i="5" s="1"/>
  <c r="AF26" i="5"/>
  <c r="AK26" i="5" s="1"/>
  <c r="AP26" i="5" s="1"/>
  <c r="Y26" i="5"/>
  <c r="AJ26" i="5" s="1"/>
  <c r="AO26" i="5" s="1"/>
  <c r="R26" i="5"/>
  <c r="AI26" i="5" s="1"/>
  <c r="AN26" i="5" s="1"/>
  <c r="K26" i="5"/>
  <c r="AH26" i="5" s="1"/>
  <c r="AM26" i="5" s="1"/>
  <c r="AL25" i="5"/>
  <c r="AQ25" i="5" s="1"/>
  <c r="AF25" i="5"/>
  <c r="AK25" i="5" s="1"/>
  <c r="AP25" i="5" s="1"/>
  <c r="Y25" i="5"/>
  <c r="AJ25" i="5" s="1"/>
  <c r="AO25" i="5" s="1"/>
  <c r="R25" i="5"/>
  <c r="AI25" i="5" s="1"/>
  <c r="AN25" i="5" s="1"/>
  <c r="K25" i="5"/>
  <c r="AH25" i="5" s="1"/>
  <c r="AM25" i="5" s="1"/>
  <c r="AL24" i="5"/>
  <c r="AQ24" i="5" s="1"/>
  <c r="AF24" i="5"/>
  <c r="AK24" i="5" s="1"/>
  <c r="AP24" i="5" s="1"/>
  <c r="Y24" i="5"/>
  <c r="AJ24" i="5" s="1"/>
  <c r="AO24" i="5" s="1"/>
  <c r="R24" i="5"/>
  <c r="AI24" i="5" s="1"/>
  <c r="AN24" i="5" s="1"/>
  <c r="K24" i="5"/>
  <c r="AH24" i="5" s="1"/>
  <c r="AM24" i="5" s="1"/>
  <c r="AL23" i="5"/>
  <c r="AQ23" i="5" s="1"/>
  <c r="AF23" i="5"/>
  <c r="AK23" i="5" s="1"/>
  <c r="AP23" i="5" s="1"/>
  <c r="Y23" i="5"/>
  <c r="AJ23" i="5" s="1"/>
  <c r="AO23" i="5" s="1"/>
  <c r="R23" i="5"/>
  <c r="AI23" i="5" s="1"/>
  <c r="AN23" i="5" s="1"/>
  <c r="K23" i="5"/>
  <c r="AH23" i="5" s="1"/>
  <c r="AM23" i="5" s="1"/>
  <c r="AL22" i="5"/>
  <c r="AQ22" i="5" s="1"/>
  <c r="AF22" i="5"/>
  <c r="AK22" i="5" s="1"/>
  <c r="AP22" i="5" s="1"/>
  <c r="Y22" i="5"/>
  <c r="AJ22" i="5" s="1"/>
  <c r="AO22" i="5" s="1"/>
  <c r="R22" i="5"/>
  <c r="AI22" i="5" s="1"/>
  <c r="AN22" i="5" s="1"/>
  <c r="K22" i="5"/>
  <c r="AH22" i="5" s="1"/>
  <c r="AM22" i="5" s="1"/>
  <c r="AL21" i="5"/>
  <c r="AQ21" i="5" s="1"/>
  <c r="AF21" i="5"/>
  <c r="AK21" i="5" s="1"/>
  <c r="AP21" i="5" s="1"/>
  <c r="Y21" i="5"/>
  <c r="AJ21" i="5" s="1"/>
  <c r="AO21" i="5" s="1"/>
  <c r="R21" i="5"/>
  <c r="AI21" i="5" s="1"/>
  <c r="AN21" i="5" s="1"/>
  <c r="K21" i="5"/>
  <c r="AH21" i="5" s="1"/>
  <c r="AM21" i="5" s="1"/>
  <c r="AL20" i="5"/>
  <c r="AQ20" i="5" s="1"/>
  <c r="AF20" i="5"/>
  <c r="AK20" i="5" s="1"/>
  <c r="AP20" i="5" s="1"/>
  <c r="Y20" i="5"/>
  <c r="AJ20" i="5" s="1"/>
  <c r="AO20" i="5" s="1"/>
  <c r="R20" i="5"/>
  <c r="AI20" i="5" s="1"/>
  <c r="AN20" i="5" s="1"/>
  <c r="K20" i="5"/>
  <c r="AH20" i="5" s="1"/>
  <c r="AM20" i="5" s="1"/>
  <c r="AL19" i="5"/>
  <c r="AQ19" i="5" s="1"/>
  <c r="AF19" i="5"/>
  <c r="AK19" i="5" s="1"/>
  <c r="AP19" i="5" s="1"/>
  <c r="Y19" i="5"/>
  <c r="AJ19" i="5" s="1"/>
  <c r="AO19" i="5" s="1"/>
  <c r="R19" i="5"/>
  <c r="AI19" i="5" s="1"/>
  <c r="AN19" i="5" s="1"/>
  <c r="K19" i="5"/>
  <c r="AH19" i="5" s="1"/>
  <c r="AM19" i="5" s="1"/>
  <c r="AL18" i="5"/>
  <c r="AQ18" i="5" s="1"/>
  <c r="AF18" i="5"/>
  <c r="AK18" i="5" s="1"/>
  <c r="AP18" i="5" s="1"/>
  <c r="Y18" i="5"/>
  <c r="AJ18" i="5" s="1"/>
  <c r="AO18" i="5" s="1"/>
  <c r="R18" i="5"/>
  <c r="AI18" i="5" s="1"/>
  <c r="AN18" i="5" s="1"/>
  <c r="K18" i="5"/>
  <c r="AH18" i="5" s="1"/>
  <c r="AM18" i="5" s="1"/>
  <c r="AL17" i="5"/>
  <c r="AQ17" i="5" s="1"/>
  <c r="AF17" i="5"/>
  <c r="AK17" i="5" s="1"/>
  <c r="AP17" i="5" s="1"/>
  <c r="Y17" i="5"/>
  <c r="AJ17" i="5" s="1"/>
  <c r="AO17" i="5" s="1"/>
  <c r="R17" i="5"/>
  <c r="AI17" i="5" s="1"/>
  <c r="AN17" i="5" s="1"/>
  <c r="K17" i="5"/>
  <c r="AH17" i="5" s="1"/>
  <c r="AM17" i="5" s="1"/>
  <c r="AL16" i="5"/>
  <c r="AF16" i="5"/>
  <c r="AK16" i="5" s="1"/>
  <c r="AP16" i="5" s="1"/>
  <c r="Y16" i="5"/>
  <c r="AJ16" i="5" s="1"/>
  <c r="AO16" i="5" s="1"/>
  <c r="R16" i="5"/>
  <c r="AI16" i="5" s="1"/>
  <c r="AN16" i="5" s="1"/>
  <c r="K16" i="5"/>
  <c r="AH16" i="5" s="1"/>
  <c r="AM16" i="5" s="1"/>
  <c r="R32" i="4"/>
  <c r="AM30" i="4"/>
  <c r="AL30" i="4"/>
  <c r="AQ30" i="4" s="1"/>
  <c r="AF30" i="4"/>
  <c r="AK30" i="4" s="1"/>
  <c r="AP30" i="4" s="1"/>
  <c r="Y30" i="4"/>
  <c r="AJ30" i="4" s="1"/>
  <c r="AO30" i="4" s="1"/>
  <c r="R30" i="4"/>
  <c r="AI30" i="4" s="1"/>
  <c r="AN30" i="4" s="1"/>
  <c r="K30" i="4"/>
  <c r="AM29" i="4"/>
  <c r="AL29" i="4"/>
  <c r="AQ29" i="4" s="1"/>
  <c r="AF29" i="4"/>
  <c r="AK29" i="4" s="1"/>
  <c r="AP29" i="4" s="1"/>
  <c r="Y29" i="4"/>
  <c r="AJ29" i="4" s="1"/>
  <c r="AO29" i="4" s="1"/>
  <c r="R29" i="4"/>
  <c r="AI29" i="4" s="1"/>
  <c r="AN29" i="4" s="1"/>
  <c r="K29" i="4"/>
  <c r="AM28" i="4"/>
  <c r="AL28" i="4"/>
  <c r="AQ28" i="4" s="1"/>
  <c r="AF28" i="4"/>
  <c r="AK28" i="4" s="1"/>
  <c r="AP28" i="4" s="1"/>
  <c r="Y28" i="4"/>
  <c r="AJ28" i="4" s="1"/>
  <c r="AO28" i="4" s="1"/>
  <c r="R28" i="4"/>
  <c r="AI28" i="4" s="1"/>
  <c r="AN28" i="4" s="1"/>
  <c r="K28" i="4"/>
  <c r="AM27" i="4"/>
  <c r="AL27" i="4"/>
  <c r="AQ27" i="4" s="1"/>
  <c r="AF27" i="4"/>
  <c r="AK27" i="4" s="1"/>
  <c r="AP27" i="4" s="1"/>
  <c r="Y27" i="4"/>
  <c r="AJ27" i="4" s="1"/>
  <c r="AO27" i="4" s="1"/>
  <c r="R27" i="4"/>
  <c r="AI27" i="4" s="1"/>
  <c r="AN27" i="4" s="1"/>
  <c r="K27" i="4"/>
  <c r="AM26" i="4"/>
  <c r="AL26" i="4"/>
  <c r="AQ26" i="4" s="1"/>
  <c r="AF26" i="4"/>
  <c r="AK26" i="4" s="1"/>
  <c r="AP26" i="4" s="1"/>
  <c r="Y26" i="4"/>
  <c r="AJ26" i="4" s="1"/>
  <c r="AO26" i="4" s="1"/>
  <c r="R26" i="4"/>
  <c r="AI26" i="4" s="1"/>
  <c r="AN26" i="4" s="1"/>
  <c r="K26" i="4"/>
  <c r="AM25" i="4"/>
  <c r="AL25" i="4"/>
  <c r="AQ25" i="4" s="1"/>
  <c r="AF25" i="4"/>
  <c r="AK25" i="4" s="1"/>
  <c r="AP25" i="4" s="1"/>
  <c r="Y25" i="4"/>
  <c r="AJ25" i="4" s="1"/>
  <c r="AO25" i="4" s="1"/>
  <c r="R25" i="4"/>
  <c r="AI25" i="4" s="1"/>
  <c r="AN25" i="4" s="1"/>
  <c r="K25" i="4"/>
  <c r="AM24" i="4"/>
  <c r="AL24" i="4"/>
  <c r="AQ24" i="4" s="1"/>
  <c r="AF24" i="4"/>
  <c r="AK24" i="4" s="1"/>
  <c r="AP24" i="4" s="1"/>
  <c r="Y24" i="4"/>
  <c r="AJ24" i="4" s="1"/>
  <c r="AO24" i="4" s="1"/>
  <c r="R24" i="4"/>
  <c r="AI24" i="4" s="1"/>
  <c r="AN24" i="4" s="1"/>
  <c r="K24" i="4"/>
  <c r="AM23" i="4"/>
  <c r="AL23" i="4"/>
  <c r="AQ23" i="4" s="1"/>
  <c r="AF23" i="4"/>
  <c r="AK23" i="4" s="1"/>
  <c r="AP23" i="4" s="1"/>
  <c r="Y23" i="4"/>
  <c r="AJ23" i="4" s="1"/>
  <c r="AO23" i="4" s="1"/>
  <c r="R23" i="4"/>
  <c r="AI23" i="4" s="1"/>
  <c r="AN23" i="4" s="1"/>
  <c r="K23" i="4"/>
  <c r="AM22" i="4"/>
  <c r="AL22" i="4"/>
  <c r="AQ22" i="4" s="1"/>
  <c r="AF22" i="4"/>
  <c r="AK22" i="4" s="1"/>
  <c r="AP22" i="4" s="1"/>
  <c r="Y22" i="4"/>
  <c r="AJ22" i="4" s="1"/>
  <c r="AO22" i="4" s="1"/>
  <c r="R22" i="4"/>
  <c r="AI22" i="4" s="1"/>
  <c r="AN22" i="4" s="1"/>
  <c r="K22" i="4"/>
  <c r="AM21" i="4"/>
  <c r="AL21" i="4"/>
  <c r="AQ21" i="4" s="1"/>
  <c r="AF21" i="4"/>
  <c r="AK21" i="4" s="1"/>
  <c r="AP21" i="4" s="1"/>
  <c r="Y21" i="4"/>
  <c r="AJ21" i="4" s="1"/>
  <c r="AO21" i="4" s="1"/>
  <c r="R21" i="4"/>
  <c r="AI21" i="4" s="1"/>
  <c r="AN21" i="4" s="1"/>
  <c r="K21" i="4"/>
  <c r="AM20" i="4"/>
  <c r="AL20" i="4"/>
  <c r="AQ20" i="4" s="1"/>
  <c r="AF20" i="4"/>
  <c r="AK20" i="4" s="1"/>
  <c r="AP20" i="4" s="1"/>
  <c r="Y20" i="4"/>
  <c r="AJ20" i="4" s="1"/>
  <c r="AO20" i="4" s="1"/>
  <c r="R20" i="4"/>
  <c r="AI20" i="4" s="1"/>
  <c r="AN20" i="4" s="1"/>
  <c r="K20" i="4"/>
  <c r="AM19" i="4"/>
  <c r="AL19" i="4"/>
  <c r="AQ19" i="4" s="1"/>
  <c r="AF19" i="4"/>
  <c r="AK19" i="4" s="1"/>
  <c r="AP19" i="4" s="1"/>
  <c r="Y19" i="4"/>
  <c r="AJ19" i="4" s="1"/>
  <c r="AO19" i="4" s="1"/>
  <c r="R19" i="4"/>
  <c r="AI19" i="4" s="1"/>
  <c r="AN19" i="4" s="1"/>
  <c r="K19" i="4"/>
  <c r="AM18" i="4"/>
  <c r="AL18" i="4"/>
  <c r="AQ18" i="4" s="1"/>
  <c r="AF18" i="4"/>
  <c r="AK18" i="4" s="1"/>
  <c r="AP18" i="4" s="1"/>
  <c r="Y18" i="4"/>
  <c r="AJ18" i="4" s="1"/>
  <c r="AO18" i="4" s="1"/>
  <c r="R18" i="4"/>
  <c r="AI18" i="4" s="1"/>
  <c r="AN18" i="4" s="1"/>
  <c r="K18" i="4"/>
  <c r="AM17" i="4"/>
  <c r="AL17" i="4"/>
  <c r="AQ17" i="4" s="1"/>
  <c r="AF17" i="4"/>
  <c r="AK17" i="4" s="1"/>
  <c r="AP17" i="4" s="1"/>
  <c r="Y17" i="4"/>
  <c r="AJ17" i="4" s="1"/>
  <c r="AO17" i="4" s="1"/>
  <c r="R17" i="4"/>
  <c r="AI17" i="4" s="1"/>
  <c r="AN17" i="4" s="1"/>
  <c r="K17" i="4"/>
  <c r="AL16" i="4"/>
  <c r="AF16" i="4"/>
  <c r="AK16" i="4" s="1"/>
  <c r="AP16" i="4" s="1"/>
  <c r="Y16" i="4"/>
  <c r="AJ16" i="4" s="1"/>
  <c r="AO16" i="4" s="1"/>
  <c r="R16" i="4"/>
  <c r="AI16" i="4" s="1"/>
  <c r="AN16" i="4" s="1"/>
  <c r="K16" i="4"/>
  <c r="AH16" i="4" s="1"/>
  <c r="AM16" i="4" s="1"/>
  <c r="R32" i="3"/>
  <c r="AL30" i="3"/>
  <c r="AQ30" i="3" s="1"/>
  <c r="AF30" i="3"/>
  <c r="AK30" i="3" s="1"/>
  <c r="AP30" i="3" s="1"/>
  <c r="Y30" i="3"/>
  <c r="AJ30" i="3" s="1"/>
  <c r="AO30" i="3" s="1"/>
  <c r="R30" i="3"/>
  <c r="AI30" i="3" s="1"/>
  <c r="AN30" i="3" s="1"/>
  <c r="K30" i="3"/>
  <c r="AH30" i="3" s="1"/>
  <c r="AM30" i="3" s="1"/>
  <c r="AL29" i="3"/>
  <c r="AQ29" i="3" s="1"/>
  <c r="AF29" i="3"/>
  <c r="AK29" i="3" s="1"/>
  <c r="AP29" i="3" s="1"/>
  <c r="Y29" i="3"/>
  <c r="AJ29" i="3" s="1"/>
  <c r="AO29" i="3" s="1"/>
  <c r="R29" i="3"/>
  <c r="AI29" i="3" s="1"/>
  <c r="AN29" i="3" s="1"/>
  <c r="K29" i="3"/>
  <c r="AH29" i="3" s="1"/>
  <c r="AM29" i="3" s="1"/>
  <c r="AL28" i="3"/>
  <c r="AQ28" i="3" s="1"/>
  <c r="AF28" i="3"/>
  <c r="AK28" i="3" s="1"/>
  <c r="AP28" i="3" s="1"/>
  <c r="Y28" i="3"/>
  <c r="AJ28" i="3" s="1"/>
  <c r="AO28" i="3" s="1"/>
  <c r="R28" i="3"/>
  <c r="AI28" i="3" s="1"/>
  <c r="AN28" i="3" s="1"/>
  <c r="K28" i="3"/>
  <c r="AH28" i="3" s="1"/>
  <c r="AM28" i="3" s="1"/>
  <c r="AL27" i="3"/>
  <c r="AQ27" i="3" s="1"/>
  <c r="AF27" i="3"/>
  <c r="AK27" i="3" s="1"/>
  <c r="AP27" i="3" s="1"/>
  <c r="Y27" i="3"/>
  <c r="AJ27" i="3" s="1"/>
  <c r="AO27" i="3" s="1"/>
  <c r="R27" i="3"/>
  <c r="AI27" i="3" s="1"/>
  <c r="AN27" i="3" s="1"/>
  <c r="K27" i="3"/>
  <c r="AH27" i="3" s="1"/>
  <c r="AM27" i="3" s="1"/>
  <c r="AL26" i="3"/>
  <c r="AQ26" i="3" s="1"/>
  <c r="AF26" i="3"/>
  <c r="AK26" i="3" s="1"/>
  <c r="AP26" i="3" s="1"/>
  <c r="Y26" i="3"/>
  <c r="AJ26" i="3" s="1"/>
  <c r="AO26" i="3" s="1"/>
  <c r="R26" i="3"/>
  <c r="AI26" i="3" s="1"/>
  <c r="AN26" i="3" s="1"/>
  <c r="K26" i="3"/>
  <c r="AH26" i="3" s="1"/>
  <c r="AM26" i="3" s="1"/>
  <c r="AL25" i="3"/>
  <c r="AQ25" i="3" s="1"/>
  <c r="AF25" i="3"/>
  <c r="AK25" i="3" s="1"/>
  <c r="AP25" i="3" s="1"/>
  <c r="Y25" i="3"/>
  <c r="AJ25" i="3" s="1"/>
  <c r="AO25" i="3" s="1"/>
  <c r="R25" i="3"/>
  <c r="AI25" i="3" s="1"/>
  <c r="AN25" i="3" s="1"/>
  <c r="K25" i="3"/>
  <c r="AH25" i="3" s="1"/>
  <c r="AM25" i="3" s="1"/>
  <c r="AL24" i="3"/>
  <c r="AQ24" i="3" s="1"/>
  <c r="AF24" i="3"/>
  <c r="AK24" i="3" s="1"/>
  <c r="AP24" i="3" s="1"/>
  <c r="Y24" i="3"/>
  <c r="AJ24" i="3" s="1"/>
  <c r="AO24" i="3" s="1"/>
  <c r="R24" i="3"/>
  <c r="AI24" i="3" s="1"/>
  <c r="AN24" i="3" s="1"/>
  <c r="K24" i="3"/>
  <c r="AH24" i="3" s="1"/>
  <c r="AM24" i="3" s="1"/>
  <c r="AL23" i="3"/>
  <c r="AQ23" i="3" s="1"/>
  <c r="AF23" i="3"/>
  <c r="AK23" i="3" s="1"/>
  <c r="AP23" i="3" s="1"/>
  <c r="Y23" i="3"/>
  <c r="AJ23" i="3" s="1"/>
  <c r="AO23" i="3" s="1"/>
  <c r="R23" i="3"/>
  <c r="AI23" i="3" s="1"/>
  <c r="AN23" i="3" s="1"/>
  <c r="K23" i="3"/>
  <c r="AH23" i="3" s="1"/>
  <c r="AM23" i="3" s="1"/>
  <c r="AL22" i="3"/>
  <c r="AQ22" i="3" s="1"/>
  <c r="AF22" i="3"/>
  <c r="AK22" i="3" s="1"/>
  <c r="AP22" i="3" s="1"/>
  <c r="Y22" i="3"/>
  <c r="AJ22" i="3" s="1"/>
  <c r="AO22" i="3" s="1"/>
  <c r="R22" i="3"/>
  <c r="AI22" i="3" s="1"/>
  <c r="AN22" i="3" s="1"/>
  <c r="K22" i="3"/>
  <c r="AH22" i="3" s="1"/>
  <c r="AM22" i="3" s="1"/>
  <c r="AL21" i="3"/>
  <c r="AQ21" i="3" s="1"/>
  <c r="AF21" i="3"/>
  <c r="AK21" i="3" s="1"/>
  <c r="AP21" i="3" s="1"/>
  <c r="Y21" i="3"/>
  <c r="AJ21" i="3" s="1"/>
  <c r="AO21" i="3" s="1"/>
  <c r="R21" i="3"/>
  <c r="AI21" i="3" s="1"/>
  <c r="AN21" i="3" s="1"/>
  <c r="K21" i="3"/>
  <c r="AH21" i="3" s="1"/>
  <c r="AM21" i="3" s="1"/>
  <c r="AL20" i="3"/>
  <c r="AQ20" i="3" s="1"/>
  <c r="AF20" i="3"/>
  <c r="AK20" i="3" s="1"/>
  <c r="AP20" i="3" s="1"/>
  <c r="Y20" i="3"/>
  <c r="AJ20" i="3" s="1"/>
  <c r="AO20" i="3" s="1"/>
  <c r="R20" i="3"/>
  <c r="AI20" i="3" s="1"/>
  <c r="AN20" i="3" s="1"/>
  <c r="K20" i="3"/>
  <c r="AH20" i="3" s="1"/>
  <c r="AM20" i="3" s="1"/>
  <c r="AL19" i="3"/>
  <c r="AQ19" i="3" s="1"/>
  <c r="AF19" i="3"/>
  <c r="AK19" i="3" s="1"/>
  <c r="AP19" i="3" s="1"/>
  <c r="Y19" i="3"/>
  <c r="AJ19" i="3" s="1"/>
  <c r="AO19" i="3" s="1"/>
  <c r="R19" i="3"/>
  <c r="AI19" i="3" s="1"/>
  <c r="AN19" i="3" s="1"/>
  <c r="K19" i="3"/>
  <c r="AH19" i="3" s="1"/>
  <c r="AM19" i="3" s="1"/>
  <c r="AL18" i="3"/>
  <c r="AQ18" i="3" s="1"/>
  <c r="AF18" i="3"/>
  <c r="AK18" i="3" s="1"/>
  <c r="AP18" i="3" s="1"/>
  <c r="Y18" i="3"/>
  <c r="AJ18" i="3" s="1"/>
  <c r="AO18" i="3" s="1"/>
  <c r="R18" i="3"/>
  <c r="AI18" i="3" s="1"/>
  <c r="AN18" i="3" s="1"/>
  <c r="K18" i="3"/>
  <c r="AH18" i="3" s="1"/>
  <c r="AM18" i="3" s="1"/>
  <c r="AL17" i="3"/>
  <c r="AQ17" i="3" s="1"/>
  <c r="AF17" i="3"/>
  <c r="AK17" i="3" s="1"/>
  <c r="AP17" i="3" s="1"/>
  <c r="Y17" i="3"/>
  <c r="AJ17" i="3" s="1"/>
  <c r="AO17" i="3" s="1"/>
  <c r="R17" i="3"/>
  <c r="AI17" i="3" s="1"/>
  <c r="AN17" i="3" s="1"/>
  <c r="K17" i="3"/>
  <c r="AH17" i="3" s="1"/>
  <c r="AM17" i="3" s="1"/>
  <c r="AL16" i="3"/>
  <c r="AF16" i="3"/>
  <c r="AK16" i="3" s="1"/>
  <c r="AP16" i="3" s="1"/>
  <c r="Y16" i="3"/>
  <c r="AJ16" i="3" s="1"/>
  <c r="AO16" i="3" s="1"/>
  <c r="R16" i="3"/>
  <c r="AI16" i="3" s="1"/>
  <c r="AN16" i="3" s="1"/>
  <c r="K16" i="3"/>
  <c r="AH16" i="3" s="1"/>
  <c r="AM16" i="3" s="1"/>
  <c r="R34" i="2"/>
  <c r="AL32" i="2"/>
  <c r="AQ32" i="2" s="1"/>
  <c r="AF32" i="2"/>
  <c r="AK32" i="2" s="1"/>
  <c r="AP32" i="2" s="1"/>
  <c r="Y32" i="2"/>
  <c r="AJ32" i="2" s="1"/>
  <c r="AO32" i="2" s="1"/>
  <c r="R32" i="2"/>
  <c r="AI32" i="2" s="1"/>
  <c r="AN32" i="2" s="1"/>
  <c r="K32" i="2"/>
  <c r="AH32" i="2" s="1"/>
  <c r="AM32" i="2" s="1"/>
  <c r="AL31" i="2"/>
  <c r="AQ31" i="2" s="1"/>
  <c r="AF31" i="2"/>
  <c r="AK31" i="2" s="1"/>
  <c r="AP31" i="2" s="1"/>
  <c r="Y31" i="2"/>
  <c r="AJ31" i="2" s="1"/>
  <c r="AO31" i="2" s="1"/>
  <c r="R31" i="2"/>
  <c r="AI31" i="2" s="1"/>
  <c r="AN31" i="2" s="1"/>
  <c r="K31" i="2"/>
  <c r="AH31" i="2" s="1"/>
  <c r="AM31" i="2" s="1"/>
  <c r="AF30" i="2"/>
  <c r="AK30" i="2" s="1"/>
  <c r="AP30" i="2" s="1"/>
  <c r="Y30" i="2"/>
  <c r="AJ30" i="2" s="1"/>
  <c r="AO30" i="2" s="1"/>
  <c r="R30" i="2"/>
  <c r="AI30" i="2" s="1"/>
  <c r="AN30" i="2" s="1"/>
  <c r="K30" i="2"/>
  <c r="AH30" i="2" s="1"/>
  <c r="AF29" i="2"/>
  <c r="AK29" i="2" s="1"/>
  <c r="AP29" i="2" s="1"/>
  <c r="Y29" i="2"/>
  <c r="AJ29" i="2" s="1"/>
  <c r="AO29" i="2" s="1"/>
  <c r="R29" i="2"/>
  <c r="AI29" i="2" s="1"/>
  <c r="AN29" i="2" s="1"/>
  <c r="K29" i="2"/>
  <c r="AH29" i="2" s="1"/>
  <c r="AF28" i="2"/>
  <c r="AK28" i="2" s="1"/>
  <c r="AP28" i="2" s="1"/>
  <c r="Y28" i="2"/>
  <c r="AJ28" i="2" s="1"/>
  <c r="AO28" i="2" s="1"/>
  <c r="R28" i="2"/>
  <c r="AI28" i="2" s="1"/>
  <c r="AN28" i="2" s="1"/>
  <c r="K28" i="2"/>
  <c r="AH28" i="2" s="1"/>
  <c r="AF27" i="2"/>
  <c r="AK27" i="2" s="1"/>
  <c r="AP27" i="2" s="1"/>
  <c r="Y27" i="2"/>
  <c r="AJ27" i="2" s="1"/>
  <c r="AO27" i="2" s="1"/>
  <c r="R27" i="2"/>
  <c r="AI27" i="2" s="1"/>
  <c r="AN27" i="2" s="1"/>
  <c r="K27" i="2"/>
  <c r="AH27" i="2" s="1"/>
  <c r="AF26" i="2"/>
  <c r="AK26" i="2" s="1"/>
  <c r="AP26" i="2" s="1"/>
  <c r="Y26" i="2"/>
  <c r="AJ26" i="2" s="1"/>
  <c r="AO26" i="2" s="1"/>
  <c r="R26" i="2"/>
  <c r="AI26" i="2" s="1"/>
  <c r="AN26" i="2" s="1"/>
  <c r="K26" i="2"/>
  <c r="AH26" i="2" s="1"/>
  <c r="AF25" i="2"/>
  <c r="AK25" i="2" s="1"/>
  <c r="AP25" i="2" s="1"/>
  <c r="Y25" i="2"/>
  <c r="AJ25" i="2" s="1"/>
  <c r="AO25" i="2" s="1"/>
  <c r="R25" i="2"/>
  <c r="AI25" i="2" s="1"/>
  <c r="AN25" i="2" s="1"/>
  <c r="K25" i="2"/>
  <c r="AH25" i="2" s="1"/>
  <c r="AF24" i="2"/>
  <c r="AK24" i="2" s="1"/>
  <c r="AP24" i="2" s="1"/>
  <c r="Y24" i="2"/>
  <c r="AJ24" i="2" s="1"/>
  <c r="AO24" i="2" s="1"/>
  <c r="R24" i="2"/>
  <c r="AI24" i="2" s="1"/>
  <c r="AN24" i="2" s="1"/>
  <c r="K24" i="2"/>
  <c r="AH24" i="2" s="1"/>
  <c r="AF23" i="2"/>
  <c r="AK23" i="2" s="1"/>
  <c r="AP23" i="2" s="1"/>
  <c r="Y23" i="2"/>
  <c r="AJ23" i="2" s="1"/>
  <c r="AO23" i="2" s="1"/>
  <c r="R23" i="2"/>
  <c r="AI23" i="2" s="1"/>
  <c r="AN23" i="2" s="1"/>
  <c r="K23" i="2"/>
  <c r="AH23" i="2" s="1"/>
  <c r="AF22" i="2"/>
  <c r="AK22" i="2" s="1"/>
  <c r="AP22" i="2" s="1"/>
  <c r="Y22" i="2"/>
  <c r="AJ22" i="2" s="1"/>
  <c r="AO22" i="2" s="1"/>
  <c r="R22" i="2"/>
  <c r="AI22" i="2" s="1"/>
  <c r="AN22" i="2" s="1"/>
  <c r="K22" i="2"/>
  <c r="AH22" i="2" s="1"/>
  <c r="AF21" i="2"/>
  <c r="AK21" i="2" s="1"/>
  <c r="AP21" i="2" s="1"/>
  <c r="Y21" i="2"/>
  <c r="AJ21" i="2" s="1"/>
  <c r="AO21" i="2" s="1"/>
  <c r="R21" i="2"/>
  <c r="AI21" i="2" s="1"/>
  <c r="AN21" i="2" s="1"/>
  <c r="K21" i="2"/>
  <c r="AH21" i="2" s="1"/>
  <c r="AF20" i="2"/>
  <c r="AK20" i="2" s="1"/>
  <c r="AP20" i="2" s="1"/>
  <c r="Y20" i="2"/>
  <c r="AJ20" i="2" s="1"/>
  <c r="AO20" i="2" s="1"/>
  <c r="R20" i="2"/>
  <c r="AI20" i="2" s="1"/>
  <c r="AN20" i="2" s="1"/>
  <c r="K20" i="2"/>
  <c r="AH20" i="2" s="1"/>
  <c r="AF19" i="2"/>
  <c r="AK19" i="2" s="1"/>
  <c r="AP19" i="2" s="1"/>
  <c r="Y19" i="2"/>
  <c r="AJ19" i="2" s="1"/>
  <c r="AO19" i="2" s="1"/>
  <c r="R19" i="2"/>
  <c r="AI19" i="2" s="1"/>
  <c r="AN19" i="2" s="1"/>
  <c r="K19" i="2"/>
  <c r="AH19" i="2" s="1"/>
  <c r="AF18" i="2"/>
  <c r="AK18" i="2" s="1"/>
  <c r="AP18" i="2" s="1"/>
  <c r="Y18" i="2"/>
  <c r="AJ18" i="2" s="1"/>
  <c r="AO18" i="2" s="1"/>
  <c r="R18" i="2"/>
  <c r="AI18" i="2" s="1"/>
  <c r="AN18" i="2" s="1"/>
  <c r="K18" i="2"/>
  <c r="AH18" i="2" s="1"/>
  <c r="AF17" i="2"/>
  <c r="AK17" i="2" s="1"/>
  <c r="AP17" i="2" s="1"/>
  <c r="Y17" i="2"/>
  <c r="AJ17" i="2" s="1"/>
  <c r="AO17" i="2" s="1"/>
  <c r="R17" i="2"/>
  <c r="AI17" i="2" s="1"/>
  <c r="AN17" i="2" s="1"/>
  <c r="K17" i="2"/>
  <c r="AH17" i="2" s="1"/>
  <c r="AF16" i="2"/>
  <c r="AK16" i="2" s="1"/>
  <c r="AP16" i="2" s="1"/>
  <c r="Y16" i="2"/>
  <c r="AJ16" i="2" s="1"/>
  <c r="AO16" i="2" s="1"/>
  <c r="R16" i="2"/>
  <c r="AI16" i="2" s="1"/>
  <c r="AN16" i="2" s="1"/>
  <c r="K16" i="2"/>
  <c r="AH16" i="2" s="1"/>
  <c r="R33" i="1"/>
  <c r="AL31" i="1"/>
  <c r="AQ31" i="1" s="1"/>
  <c r="AF31" i="1"/>
  <c r="AK31" i="1" s="1"/>
  <c r="AP31" i="1" s="1"/>
  <c r="Y31" i="1"/>
  <c r="AJ31" i="1" s="1"/>
  <c r="AO31" i="1" s="1"/>
  <c r="R31" i="1"/>
  <c r="AI31" i="1" s="1"/>
  <c r="AN31" i="1" s="1"/>
  <c r="K31" i="1"/>
  <c r="AH31" i="1" s="1"/>
  <c r="AM31" i="1" s="1"/>
  <c r="AF30" i="1"/>
  <c r="AK30" i="1" s="1"/>
  <c r="AP30" i="1" s="1"/>
  <c r="Y30" i="1"/>
  <c r="AJ30" i="1" s="1"/>
  <c r="AO30" i="1" s="1"/>
  <c r="R30" i="1"/>
  <c r="AI30" i="1" s="1"/>
  <c r="AN30" i="1" s="1"/>
  <c r="K30" i="1"/>
  <c r="AH30" i="1" s="1"/>
  <c r="AF29" i="1"/>
  <c r="AK29" i="1" s="1"/>
  <c r="AP29" i="1" s="1"/>
  <c r="Y29" i="1"/>
  <c r="AJ29" i="1" s="1"/>
  <c r="AO29" i="1" s="1"/>
  <c r="R29" i="1"/>
  <c r="AI29" i="1" s="1"/>
  <c r="AN29" i="1" s="1"/>
  <c r="K29" i="1"/>
  <c r="AH29" i="1" s="1"/>
  <c r="AF28" i="1"/>
  <c r="AK28" i="1" s="1"/>
  <c r="AP28" i="1" s="1"/>
  <c r="Y28" i="1"/>
  <c r="AJ28" i="1" s="1"/>
  <c r="AO28" i="1" s="1"/>
  <c r="R28" i="1"/>
  <c r="AI28" i="1" s="1"/>
  <c r="AN28" i="1" s="1"/>
  <c r="K28" i="1"/>
  <c r="AH28" i="1" s="1"/>
  <c r="AF27" i="1"/>
  <c r="AK27" i="1" s="1"/>
  <c r="AP27" i="1" s="1"/>
  <c r="Y27" i="1"/>
  <c r="AJ27" i="1" s="1"/>
  <c r="AO27" i="1" s="1"/>
  <c r="R27" i="1"/>
  <c r="AI27" i="1" s="1"/>
  <c r="AN27" i="1" s="1"/>
  <c r="K27" i="1"/>
  <c r="AH27" i="1" s="1"/>
  <c r="AF26" i="1"/>
  <c r="AK26" i="1" s="1"/>
  <c r="AP26" i="1" s="1"/>
  <c r="Y26" i="1"/>
  <c r="AJ26" i="1" s="1"/>
  <c r="AO26" i="1" s="1"/>
  <c r="R26" i="1"/>
  <c r="AI26" i="1" s="1"/>
  <c r="AN26" i="1" s="1"/>
  <c r="K26" i="1"/>
  <c r="AH26" i="1" s="1"/>
  <c r="AF25" i="1"/>
  <c r="AK25" i="1" s="1"/>
  <c r="AP25" i="1" s="1"/>
  <c r="Y25" i="1"/>
  <c r="AJ25" i="1" s="1"/>
  <c r="AO25" i="1" s="1"/>
  <c r="R25" i="1"/>
  <c r="AI25" i="1" s="1"/>
  <c r="AN25" i="1" s="1"/>
  <c r="K25" i="1"/>
  <c r="AH25" i="1" s="1"/>
  <c r="AF24" i="1"/>
  <c r="AK24" i="1" s="1"/>
  <c r="AP24" i="1" s="1"/>
  <c r="Y24" i="1"/>
  <c r="AJ24" i="1" s="1"/>
  <c r="AO24" i="1" s="1"/>
  <c r="R24" i="1"/>
  <c r="AI24" i="1" s="1"/>
  <c r="AN24" i="1" s="1"/>
  <c r="K24" i="1"/>
  <c r="AH24" i="1" s="1"/>
  <c r="AF23" i="1"/>
  <c r="AK23" i="1" s="1"/>
  <c r="AP23" i="1" s="1"/>
  <c r="Y23" i="1"/>
  <c r="AJ23" i="1" s="1"/>
  <c r="AO23" i="1" s="1"/>
  <c r="R23" i="1"/>
  <c r="AI23" i="1" s="1"/>
  <c r="AN23" i="1" s="1"/>
  <c r="K23" i="1"/>
  <c r="AH23" i="1" s="1"/>
  <c r="AF22" i="1"/>
  <c r="AK22" i="1" s="1"/>
  <c r="AP22" i="1" s="1"/>
  <c r="Y22" i="1"/>
  <c r="AJ22" i="1" s="1"/>
  <c r="AO22" i="1" s="1"/>
  <c r="R22" i="1"/>
  <c r="AI22" i="1" s="1"/>
  <c r="AN22" i="1" s="1"/>
  <c r="K22" i="1"/>
  <c r="AH22" i="1" s="1"/>
  <c r="AF21" i="1"/>
  <c r="AK21" i="1" s="1"/>
  <c r="AP21" i="1" s="1"/>
  <c r="Y21" i="1"/>
  <c r="AJ21" i="1" s="1"/>
  <c r="AO21" i="1" s="1"/>
  <c r="R21" i="1"/>
  <c r="AI21" i="1" s="1"/>
  <c r="AN21" i="1" s="1"/>
  <c r="K21" i="1"/>
  <c r="AH21" i="1" s="1"/>
  <c r="AF20" i="1"/>
  <c r="AK20" i="1" s="1"/>
  <c r="AP20" i="1" s="1"/>
  <c r="Y20" i="1"/>
  <c r="AJ20" i="1" s="1"/>
  <c r="AO20" i="1" s="1"/>
  <c r="R20" i="1"/>
  <c r="AI20" i="1" s="1"/>
  <c r="AN20" i="1" s="1"/>
  <c r="K20" i="1"/>
  <c r="AH20" i="1" s="1"/>
  <c r="AF19" i="1"/>
  <c r="AK19" i="1" s="1"/>
  <c r="AP19" i="1" s="1"/>
  <c r="Y19" i="1"/>
  <c r="AJ19" i="1" s="1"/>
  <c r="AO19" i="1" s="1"/>
  <c r="R19" i="1"/>
  <c r="AI19" i="1" s="1"/>
  <c r="AN19" i="1" s="1"/>
  <c r="K19" i="1"/>
  <c r="AH19" i="1" s="1"/>
  <c r="AF18" i="1"/>
  <c r="AK18" i="1" s="1"/>
  <c r="AP18" i="1" s="1"/>
  <c r="Y18" i="1"/>
  <c r="AJ18" i="1" s="1"/>
  <c r="AO18" i="1" s="1"/>
  <c r="R18" i="1"/>
  <c r="AI18" i="1" s="1"/>
  <c r="AN18" i="1" s="1"/>
  <c r="K18" i="1"/>
  <c r="AH18" i="1" s="1"/>
  <c r="AF17" i="1"/>
  <c r="AK17" i="1" s="1"/>
  <c r="AP17" i="1" s="1"/>
  <c r="Y17" i="1"/>
  <c r="AJ17" i="1" s="1"/>
  <c r="AO17" i="1" s="1"/>
  <c r="R17" i="1"/>
  <c r="AI17" i="1" s="1"/>
  <c r="AN17" i="1" s="1"/>
  <c r="K17" i="1"/>
  <c r="AH17" i="1" s="1"/>
  <c r="AF16" i="1"/>
  <c r="AK16" i="1" s="1"/>
  <c r="AP16" i="1" s="1"/>
  <c r="Y16" i="1"/>
  <c r="AJ16" i="1" s="1"/>
  <c r="AO16" i="1" s="1"/>
  <c r="R16" i="1"/>
  <c r="AI16" i="1" s="1"/>
  <c r="AN16" i="1" s="1"/>
  <c r="K16" i="1"/>
  <c r="AH16" i="1" s="1"/>
  <c r="AM16" i="1" l="1"/>
  <c r="AL16" i="1"/>
  <c r="AM17" i="1"/>
  <c r="AL17" i="1"/>
  <c r="AQ17" i="1" s="1"/>
  <c r="AM18" i="1"/>
  <c r="AL18" i="1"/>
  <c r="AQ18" i="1" s="1"/>
  <c r="AM19" i="1"/>
  <c r="AL19" i="1"/>
  <c r="AQ19" i="1" s="1"/>
  <c r="AM20" i="1"/>
  <c r="AL20" i="1"/>
  <c r="AQ20" i="1" s="1"/>
  <c r="AM21" i="1"/>
  <c r="AL21" i="1"/>
  <c r="AQ21" i="1" s="1"/>
  <c r="AM22" i="1"/>
  <c r="AL22" i="1"/>
  <c r="AQ22" i="1" s="1"/>
  <c r="AM23" i="1"/>
  <c r="AL23" i="1"/>
  <c r="AQ23" i="1" s="1"/>
  <c r="AM24" i="1"/>
  <c r="AL24" i="1"/>
  <c r="AQ24" i="1" s="1"/>
  <c r="AM25" i="1"/>
  <c r="AL25" i="1"/>
  <c r="AQ25" i="1" s="1"/>
  <c r="AM26" i="1"/>
  <c r="AL26" i="1"/>
  <c r="AQ26" i="1" s="1"/>
  <c r="AM27" i="1"/>
  <c r="AL27" i="1"/>
  <c r="AQ27" i="1" s="1"/>
  <c r="AM28" i="1"/>
  <c r="AL28" i="1"/>
  <c r="AQ28" i="1" s="1"/>
  <c r="AM29" i="1"/>
  <c r="AL29" i="1"/>
  <c r="AQ29" i="1" s="1"/>
  <c r="AM30" i="1"/>
  <c r="AL30" i="1"/>
  <c r="AQ30" i="1" s="1"/>
  <c r="AM16" i="2"/>
  <c r="AL16" i="2"/>
  <c r="AM17" i="2"/>
  <c r="AL17" i="2"/>
  <c r="AQ17" i="2" s="1"/>
  <c r="AM18" i="2"/>
  <c r="AL18" i="2"/>
  <c r="AQ18" i="2" s="1"/>
  <c r="AM19" i="2"/>
  <c r="AL19" i="2"/>
  <c r="AQ19" i="2" s="1"/>
  <c r="AM20" i="2"/>
  <c r="AL20" i="2"/>
  <c r="AQ20" i="2" s="1"/>
  <c r="AM21" i="2"/>
  <c r="AL21" i="2"/>
  <c r="AQ21" i="2" s="1"/>
  <c r="AM22" i="2"/>
  <c r="AL22" i="2"/>
  <c r="AQ22" i="2" s="1"/>
  <c r="AM23" i="2"/>
  <c r="AL23" i="2"/>
  <c r="AQ23" i="2" s="1"/>
  <c r="AM24" i="2"/>
  <c r="AL24" i="2"/>
  <c r="AQ24" i="2" s="1"/>
  <c r="AM25" i="2"/>
  <c r="AL25" i="2"/>
  <c r="AQ25" i="2" s="1"/>
  <c r="AM26" i="2"/>
  <c r="AL26" i="2"/>
  <c r="AQ26" i="2" s="1"/>
  <c r="AM27" i="2"/>
  <c r="AL27" i="2"/>
  <c r="AQ27" i="2" s="1"/>
  <c r="AM28" i="2"/>
  <c r="AL28" i="2"/>
  <c r="AQ28" i="2" s="1"/>
  <c r="AM29" i="2"/>
  <c r="AL29" i="2"/>
  <c r="AQ29" i="2" s="1"/>
  <c r="AM30" i="2"/>
  <c r="AL30" i="2"/>
  <c r="AQ30" i="2" s="1"/>
  <c r="AA36" i="3"/>
  <c r="AA35" i="3"/>
  <c r="O35" i="3"/>
  <c r="AA34" i="3"/>
  <c r="AA33" i="3"/>
  <c r="O33" i="3"/>
  <c r="F33" i="3"/>
  <c r="F32" i="3"/>
  <c r="AQ16" i="3"/>
  <c r="AA36" i="4"/>
  <c r="AA35" i="4"/>
  <c r="O35" i="4"/>
  <c r="AA34" i="4"/>
  <c r="AA33" i="4"/>
  <c r="O33" i="4"/>
  <c r="F33" i="4"/>
  <c r="F32" i="4"/>
  <c r="AQ16" i="4"/>
  <c r="AA36" i="5"/>
  <c r="AA35" i="5"/>
  <c r="O35" i="5"/>
  <c r="AA34" i="5"/>
  <c r="AA33" i="5"/>
  <c r="O33" i="5"/>
  <c r="F33" i="5"/>
  <c r="F32" i="5"/>
  <c r="AQ16" i="5"/>
  <c r="O36" i="5" l="1"/>
  <c r="R36" i="5" s="1"/>
  <c r="O34" i="5"/>
  <c r="R34" i="5" s="1"/>
  <c r="R33" i="5"/>
  <c r="AB33" i="5"/>
  <c r="AB34" i="5"/>
  <c r="R35" i="5"/>
  <c r="AB35" i="5"/>
  <c r="AB36" i="5"/>
  <c r="O36" i="4"/>
  <c r="R36" i="4" s="1"/>
  <c r="O34" i="4"/>
  <c r="R34" i="4" s="1"/>
  <c r="R33" i="4"/>
  <c r="AB33" i="4"/>
  <c r="AB34" i="4"/>
  <c r="R35" i="4"/>
  <c r="AB35" i="4"/>
  <c r="AB36" i="4"/>
  <c r="O36" i="3"/>
  <c r="R36" i="3" s="1"/>
  <c r="O34" i="3"/>
  <c r="R34" i="3" s="1"/>
  <c r="R33" i="3"/>
  <c r="AB33" i="3"/>
  <c r="AB34" i="3"/>
  <c r="R35" i="3"/>
  <c r="AB35" i="3"/>
  <c r="AB36" i="3"/>
  <c r="AA38" i="2"/>
  <c r="AA37" i="2"/>
  <c r="O37" i="2"/>
  <c r="AA36" i="2"/>
  <c r="AA35" i="2"/>
  <c r="O35" i="2"/>
  <c r="F35" i="2"/>
  <c r="F34" i="2"/>
  <c r="AQ16" i="2"/>
  <c r="AA37" i="1"/>
  <c r="AA36" i="1"/>
  <c r="O36" i="1"/>
  <c r="AA35" i="1"/>
  <c r="AA34" i="1"/>
  <c r="O34" i="1"/>
  <c r="F34" i="1"/>
  <c r="F33" i="1"/>
  <c r="AQ16" i="1"/>
  <c r="O37" i="1" l="1"/>
  <c r="R37" i="1" s="1"/>
  <c r="O35" i="1"/>
  <c r="R35" i="1" s="1"/>
  <c r="R34" i="1"/>
  <c r="AB34" i="1"/>
  <c r="AB35" i="1"/>
  <c r="R36" i="1"/>
  <c r="AB36" i="1"/>
  <c r="AB37" i="1"/>
  <c r="O38" i="2"/>
  <c r="R38" i="2" s="1"/>
  <c r="O36" i="2"/>
  <c r="R36" i="2" s="1"/>
  <c r="R35" i="2"/>
  <c r="AB35" i="2"/>
  <c r="AB36" i="2"/>
  <c r="R37" i="2"/>
  <c r="AB37" i="2"/>
  <c r="AB38" i="2"/>
</calcChain>
</file>

<file path=xl/sharedStrings.xml><?xml version="1.0" encoding="utf-8"?>
<sst xmlns="http://schemas.openxmlformats.org/spreadsheetml/2006/main" count="463" uniqueCount="111">
  <si>
    <t>I.E.P. "MUNDIAL"</t>
  </si>
  <si>
    <t>JUNIN</t>
  </si>
  <si>
    <t>HUANCAYO</t>
  </si>
  <si>
    <t>Nivel:</t>
  </si>
  <si>
    <t>SECUNDARIA</t>
  </si>
  <si>
    <t>Grado:</t>
  </si>
  <si>
    <t>PRIMERO</t>
  </si>
  <si>
    <t>Sección:</t>
  </si>
  <si>
    <t>ÚNICA</t>
  </si>
  <si>
    <t>Área:</t>
  </si>
  <si>
    <t>SAPALLANGA</t>
  </si>
  <si>
    <t>Unidades:</t>
  </si>
  <si>
    <t>II</t>
  </si>
  <si>
    <t>Bimestre:</t>
  </si>
  <si>
    <t>Docente:</t>
  </si>
  <si>
    <t>Nº de orden</t>
  </si>
  <si>
    <t>APELLIDOS Y NOMBRES</t>
  </si>
  <si>
    <t>COMPETENCIAS</t>
  </si>
  <si>
    <t>CONCLUSIONES DESCRIPTIVAS</t>
  </si>
  <si>
    <t>RESUMEN</t>
  </si>
  <si>
    <t>LOGRO DEL ÁREA</t>
  </si>
  <si>
    <t>RESUMEN CNEB</t>
  </si>
  <si>
    <t>LOGRO DEL ÁREA CNEB</t>
  </si>
  <si>
    <t>LOGRO</t>
  </si>
  <si>
    <t>PUNTAJE</t>
  </si>
  <si>
    <t xml:space="preserve">MATRICULADOS: </t>
  </si>
  <si>
    <t xml:space="preserve">Niveles de logro </t>
  </si>
  <si>
    <t>f</t>
  </si>
  <si>
    <t>%</t>
  </si>
  <si>
    <t>PROMEDIO MAYOR</t>
  </si>
  <si>
    <t>EVALUADOS:</t>
  </si>
  <si>
    <t>AD</t>
  </si>
  <si>
    <t>18 - 20</t>
  </si>
  <si>
    <t>PROMEDIO DE LA SELECCIÓN</t>
  </si>
  <si>
    <t xml:space="preserve">NO EVALUADOS: </t>
  </si>
  <si>
    <t>A</t>
  </si>
  <si>
    <t>14 - 17</t>
  </si>
  <si>
    <t>PROMEDIO MENOR</t>
  </si>
  <si>
    <t>APROBADOS</t>
  </si>
  <si>
    <t>B</t>
  </si>
  <si>
    <t>11 - 13</t>
  </si>
  <si>
    <t>DESAPROBADOS</t>
  </si>
  <si>
    <t>C</t>
  </si>
  <si>
    <t>0 - 10</t>
  </si>
  <si>
    <t>Fecha</t>
  </si>
  <si>
    <t>DOCENTE</t>
  </si>
  <si>
    <t>V°B°</t>
  </si>
  <si>
    <t>SEGUNDO</t>
  </si>
  <si>
    <t>HKJK</t>
  </si>
  <si>
    <t>TERCERO</t>
  </si>
  <si>
    <t>CUARTO</t>
  </si>
  <si>
    <t>FECHA:</t>
  </si>
  <si>
    <t>QUINTO</t>
  </si>
  <si>
    <t>CHAVEZ AGUSTÍN, JEANPIERO</t>
  </si>
  <si>
    <t>DE LA CRUZ JUSTO, ERICK FERNANDO</t>
  </si>
  <si>
    <t>GABRIEL GUTIERREZ, JOSEPH GADIEL</t>
  </si>
  <si>
    <t>GOMEZ ALVAREZ, CIELO DARLIN</t>
  </si>
  <si>
    <t>MONTAÑEZ FLORES, CRHISTOFER</t>
  </si>
  <si>
    <t>ÑAHUI MELCHOR, RENZO HITLER</t>
  </si>
  <si>
    <t>PARIONA CAHUAYA, DALAI MERLIA</t>
  </si>
  <si>
    <t>QUISPE HUAYTA, SAYUMI YASMIN</t>
  </si>
  <si>
    <t>QUISPE PEREZ, FORLAN THIAGO</t>
  </si>
  <si>
    <t>RICRA APARI, BLANCA LUZ</t>
  </si>
  <si>
    <t>SAENZ DE LA CRUZ, MEIDELYN</t>
  </si>
  <si>
    <t>SOTO FIGUEROA, FLOR BIANCA</t>
  </si>
  <si>
    <t>CASTILLON CANCHARI, RUTH GIMENA</t>
  </si>
  <si>
    <t>CRISPIN VELASQUEZ, ALDAIR ARTURO</t>
  </si>
  <si>
    <t>DELGADILLO DORIA, KRYSTAL SAMANTHA</t>
  </si>
  <si>
    <t>DIAZ FERNANDEZ, ALEX NOE</t>
  </si>
  <si>
    <t>FALCON ALVAREZ, BRYGUITTE JEYCE</t>
  </si>
  <si>
    <t>MODESTO SALAZAR, ANY KAROL</t>
  </si>
  <si>
    <t>OSORIO MEZA, EDWARD</t>
  </si>
  <si>
    <t>POMA MELCHOR, YASUMI</t>
  </si>
  <si>
    <t>POMAYLLE HUAROC, LESLY DAMARIS</t>
  </si>
  <si>
    <t>PORRAS PALOMINO, NAYELI MISHELY</t>
  </si>
  <si>
    <t>QUIROZ CANCHARI, JHON ANGEL</t>
  </si>
  <si>
    <t>QUISPE HUAYTA, YEYSON YEFERS</t>
  </si>
  <si>
    <t>QUISPE PONCE, ANGELA NATSUMY</t>
  </si>
  <si>
    <t>QUISPE REYNOSO, FORREST BRADPIT</t>
  </si>
  <si>
    <t>TORRES VILA, ALEXIA NICOLE</t>
  </si>
  <si>
    <t>BAUTISTA PALACIOS, DAYRON SAMIR</t>
  </si>
  <si>
    <t>DE LA CRUZ GARCÍA, JUAN RAYMI</t>
  </si>
  <si>
    <t>DIAZ QUISPE, RUTMEY</t>
  </si>
  <si>
    <t>GUERRERO RIVEROS, GUSTAVO</t>
  </si>
  <si>
    <t>HERNANDEZ CURASMA, AIZEN</t>
  </si>
  <si>
    <t>LORENZO RODRIGUEZ, MERCEDEZ ZORAIDA</t>
  </si>
  <si>
    <t>LOZANO HILARIO, HELEN YUMIRA</t>
  </si>
  <si>
    <t>MENDOZA VASQUEZ, ANGELA DORELY</t>
  </si>
  <si>
    <t>PEREZ MATIAS, MARICIELO KAORI</t>
  </si>
  <si>
    <t>PONCE ALVARO, ARLET ABRIL</t>
  </si>
  <si>
    <t>QUISPE PORRAS, NAYELY  NICOL</t>
  </si>
  <si>
    <t>CANCHARI CHAMBERGO, LESLY MAYTE</t>
  </si>
  <si>
    <t>CORNELIO HUAMAN, JHAN CARLOS</t>
  </si>
  <si>
    <t>GARCIA QUISPE, GISELA JANINA</t>
  </si>
  <si>
    <t>MEZA RIVAS, SADIE EMELY</t>
  </si>
  <si>
    <t>MODESTO SALAZAR, KIMBERLYN</t>
  </si>
  <si>
    <t>ORELLANA BELITO, KATSUMY MEDALI</t>
  </si>
  <si>
    <t>ROJAS PONCE, BRISSA HARED</t>
  </si>
  <si>
    <t>PERALTA MEDRANO, DAMARIZ KARINA</t>
  </si>
  <si>
    <t>AMBROSIO CHOQUE, BRIGITT NICOLL</t>
  </si>
  <si>
    <t>CHAMORRO PONCE, SNAIDER ANDY</t>
  </si>
  <si>
    <t>FERNANDEZ CHUPAYO, JESUS ANGEL</t>
  </si>
  <si>
    <t>JULIAN VASQUEZ, SAYURI THALIA</t>
  </si>
  <si>
    <t>LAURA VICTORIO, YAMILE</t>
  </si>
  <si>
    <t>MEDINA PARRAGUIRRE, FERNANDO DANIEL</t>
  </si>
  <si>
    <t>PERALTA MEDRANO, DAMARIZ KARINA (4° HE)</t>
  </si>
  <si>
    <t>REGISTRO AUXILIAR DE EVALUACIÓN DEL ÁREA DE MATEMÁTICA- EDUCACIÓN BÁSICA REGULAR 2026</t>
  </si>
  <si>
    <t>LEON IGNACIO, STIVEN FRANCIZ</t>
  </si>
  <si>
    <t>RESUELVE PROB DE REGULARIDAD EQUIVALENCIA Y CAMBIO</t>
  </si>
  <si>
    <t>RESUELVE PROB DE CANTIDAD</t>
  </si>
  <si>
    <t>DIAZ CALDERON, ELENA AURORA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</si>
</sst>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7">
    <font>
      <sz val="11"/>
      <name val="Calibri"/>
      <scheme val="minor"/>
    </font>
    <font>
      <sz val="11"/>
      <name val="Arial"/>
    </font>
    <font>
      <sz val="11"/>
      <name val="Calibri"/>
    </font>
    <font>
      <b/>
      <sz val="14"/>
      <name val="Arial"/>
    </font>
    <font>
      <u/>
      <sz val="18"/>
      <name val="Impact"/>
    </font>
    <font>
      <b/>
      <sz val="11"/>
      <name val="Arial"/>
    </font>
    <font>
      <b/>
      <sz val="12"/>
      <name val="Arial"/>
    </font>
    <font>
      <b/>
      <sz val="10"/>
      <name val="Arial"/>
    </font>
    <font>
      <b/>
      <sz val="10"/>
      <name val="Arial"/>
    </font>
    <font>
      <sz val="11"/>
      <name val="Arial"/>
    </font>
    <font>
      <sz val="11"/>
      <name val="Calibri"/>
    </font>
    <font>
      <sz val="11"/>
      <name val="Arial Narrow"/>
    </font>
    <font>
      <sz val="12"/>
      <color rgb="FF000000"/>
      <name val="Arial Narrow"/>
    </font>
    <font>
      <sz val="11"/>
      <color rgb="FF000000"/>
      <name val="Arial"/>
    </font>
    <font>
      <sz val="11"/>
      <name val="Calibri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1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2" borderId="48" xfId="0" applyFont="1" applyFill="1" applyBorder="1" applyAlignment="1">
      <alignment horizontal="center" vertical="center"/>
    </xf>
    <xf numFmtId="164" fontId="1" fillId="0" borderId="52" xfId="0" applyNumberFormat="1" applyFont="1" applyBorder="1" applyAlignment="1">
      <alignment horizontal="center" vertical="center"/>
    </xf>
    <xf numFmtId="164" fontId="1" fillId="0" borderId="53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164" fontId="1" fillId="3" borderId="55" xfId="0" applyNumberFormat="1" applyFont="1" applyFill="1" applyBorder="1" applyAlignment="1">
      <alignment horizontal="center" vertical="center"/>
    </xf>
    <xf numFmtId="0" fontId="10" fillId="0" borderId="56" xfId="0" applyFont="1" applyBorder="1"/>
    <xf numFmtId="0" fontId="11" fillId="0" borderId="56" xfId="0" applyFont="1" applyBorder="1"/>
    <xf numFmtId="164" fontId="9" fillId="0" borderId="52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54" xfId="0" applyNumberFormat="1" applyFont="1" applyBorder="1" applyAlignment="1">
      <alignment horizontal="center" vertical="center"/>
    </xf>
    <xf numFmtId="0" fontId="10" fillId="0" borderId="57" xfId="0" applyFont="1" applyBorder="1"/>
    <xf numFmtId="164" fontId="5" fillId="3" borderId="55" xfId="0" applyNumberFormat="1" applyFont="1" applyFill="1" applyBorder="1" applyAlignment="1">
      <alignment horizontal="center" vertical="center"/>
    </xf>
    <xf numFmtId="0" fontId="11" fillId="0" borderId="0" xfId="0" applyFont="1"/>
    <xf numFmtId="0" fontId="1" fillId="2" borderId="58" xfId="0" applyFont="1" applyFill="1" applyBorder="1" applyAlignment="1">
      <alignment horizontal="center" vertical="center"/>
    </xf>
    <xf numFmtId="164" fontId="1" fillId="0" borderId="58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60" xfId="0" applyNumberFormat="1" applyFont="1" applyBorder="1" applyAlignment="1">
      <alignment horizontal="center" vertical="center"/>
    </xf>
    <xf numFmtId="164" fontId="9" fillId="0" borderId="58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60" xfId="0" applyNumberFormat="1" applyFont="1" applyBorder="1" applyAlignment="1">
      <alignment horizontal="center" vertical="center"/>
    </xf>
    <xf numFmtId="164" fontId="1" fillId="3" borderId="56" xfId="0" applyNumberFormat="1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164" fontId="1" fillId="0" borderId="61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62" xfId="0" applyNumberFormat="1" applyFont="1" applyBorder="1" applyAlignment="1">
      <alignment horizontal="center" vertical="center"/>
    </xf>
    <xf numFmtId="164" fontId="1" fillId="3" borderId="63" xfId="0" applyNumberFormat="1" applyFont="1" applyFill="1" applyBorder="1" applyAlignment="1">
      <alignment horizontal="center" vertical="center"/>
    </xf>
    <xf numFmtId="0" fontId="10" fillId="0" borderId="63" xfId="0" applyFont="1" applyBorder="1"/>
    <xf numFmtId="164" fontId="5" fillId="3" borderId="63" xfId="0" applyNumberFormat="1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/>
    <xf numFmtId="0" fontId="1" fillId="0" borderId="7" xfId="0" applyFont="1" applyBorder="1"/>
    <xf numFmtId="0" fontId="1" fillId="0" borderId="64" xfId="0" applyFont="1" applyBorder="1"/>
    <xf numFmtId="0" fontId="8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58" xfId="0" applyFont="1" applyBorder="1"/>
    <xf numFmtId="0" fontId="1" fillId="0" borderId="5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1" xfId="0" applyFont="1" applyBorder="1"/>
    <xf numFmtId="0" fontId="1" fillId="0" borderId="6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5" fillId="0" borderId="19" xfId="0" applyFont="1" applyBorder="1" applyAlignment="1">
      <alignment horizontal="center"/>
    </xf>
    <xf numFmtId="0" fontId="1" fillId="0" borderId="37" xfId="0" applyFont="1" applyBorder="1"/>
    <xf numFmtId="0" fontId="11" fillId="0" borderId="0" xfId="0" applyFont="1" applyAlignment="1">
      <alignment vertical="center"/>
    </xf>
    <xf numFmtId="0" fontId="11" fillId="0" borderId="57" xfId="0" applyFont="1" applyBorder="1"/>
    <xf numFmtId="164" fontId="1" fillId="0" borderId="71" xfId="0" applyNumberFormat="1" applyFont="1" applyBorder="1" applyAlignment="1">
      <alignment horizontal="center" vertical="center"/>
    </xf>
    <xf numFmtId="0" fontId="10" fillId="0" borderId="56" xfId="0" applyFont="1" applyBorder="1" applyAlignment="1">
      <alignment horizontal="center"/>
    </xf>
    <xf numFmtId="0" fontId="11" fillId="0" borderId="72" xfId="0" applyFont="1" applyBorder="1"/>
    <xf numFmtId="164" fontId="13" fillId="0" borderId="53" xfId="0" applyNumberFormat="1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2" borderId="73" xfId="0" applyFont="1" applyFill="1" applyBorder="1" applyAlignment="1">
      <alignment horizontal="center" vertical="center" wrapText="1"/>
    </xf>
    <xf numFmtId="164" fontId="1" fillId="0" borderId="48" xfId="0" applyNumberFormat="1" applyFont="1" applyBorder="1" applyAlignment="1">
      <alignment horizontal="center" vertical="center"/>
    </xf>
    <xf numFmtId="164" fontId="1" fillId="0" borderId="75" xfId="0" applyNumberFormat="1" applyFont="1" applyBorder="1" applyAlignment="1">
      <alignment horizontal="center" vertical="center"/>
    </xf>
    <xf numFmtId="164" fontId="1" fillId="0" borderId="76" xfId="0" applyNumberFormat="1" applyFont="1" applyBorder="1" applyAlignment="1">
      <alignment horizontal="center" vertical="center"/>
    </xf>
    <xf numFmtId="164" fontId="1" fillId="0" borderId="77" xfId="0" applyNumberFormat="1" applyFont="1" applyBorder="1" applyAlignment="1">
      <alignment horizontal="center" vertical="center"/>
    </xf>
    <xf numFmtId="0" fontId="10" fillId="0" borderId="57" xfId="0" applyFont="1" applyBorder="1" applyAlignment="1">
      <alignment horizontal="center"/>
    </xf>
    <xf numFmtId="164" fontId="1" fillId="0" borderId="78" xfId="0" applyNumberFormat="1" applyFont="1" applyBorder="1" applyAlignment="1">
      <alignment horizontal="center" vertical="center"/>
    </xf>
    <xf numFmtId="164" fontId="1" fillId="0" borderId="7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80" xfId="0" applyNumberFormat="1" applyFont="1" applyBorder="1" applyAlignment="1">
      <alignment horizontal="center" vertical="center"/>
    </xf>
    <xf numFmtId="0" fontId="11" fillId="0" borderId="46" xfId="0" applyFont="1" applyBorder="1"/>
    <xf numFmtId="0" fontId="1" fillId="0" borderId="0" xfId="0" applyFont="1" applyAlignment="1">
      <alignment horizontal="right" vertical="center"/>
    </xf>
    <xf numFmtId="0" fontId="1" fillId="0" borderId="81" xfId="0" applyFont="1" applyBorder="1" applyAlignment="1">
      <alignment horizontal="center" vertical="center"/>
    </xf>
    <xf numFmtId="0" fontId="1" fillId="2" borderId="78" xfId="0" applyFont="1" applyFill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3" borderId="57" xfId="0" applyNumberFormat="1" applyFont="1" applyFill="1" applyBorder="1" applyAlignment="1">
      <alignment horizontal="center" vertical="center"/>
    </xf>
    <xf numFmtId="0" fontId="11" fillId="0" borderId="30" xfId="0" applyFont="1" applyBorder="1"/>
    <xf numFmtId="0" fontId="1" fillId="2" borderId="87" xfId="0" applyFont="1" applyFill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3" fillId="0" borderId="104" xfId="0" applyFont="1" applyBorder="1" applyAlignment="1">
      <alignment horizontal="center" vertical="center"/>
    </xf>
    <xf numFmtId="164" fontId="1" fillId="0" borderId="65" xfId="0" applyNumberFormat="1" applyFont="1" applyBorder="1" applyAlignment="1">
      <alignment horizontal="center" vertical="center"/>
    </xf>
    <xf numFmtId="0" fontId="2" fillId="0" borderId="51" xfId="0" applyFont="1" applyBorder="1"/>
    <xf numFmtId="0" fontId="0" fillId="0" borderId="95" xfId="0" applyBorder="1" applyAlignment="1">
      <alignment horizontal="left" wrapText="1"/>
    </xf>
    <xf numFmtId="0" fontId="0" fillId="0" borderId="96" xfId="0" applyBorder="1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2" xfId="0" applyBorder="1" applyAlignment="1">
      <alignment horizontal="left" wrapText="1"/>
    </xf>
    <xf numFmtId="0" fontId="0" fillId="0" borderId="93" xfId="0" applyBorder="1" applyAlignment="1">
      <alignment horizontal="left" wrapText="1"/>
    </xf>
    <xf numFmtId="0" fontId="0" fillId="0" borderId="94" xfId="0" applyBorder="1" applyAlignment="1">
      <alignment horizontal="left" wrapText="1"/>
    </xf>
    <xf numFmtId="0" fontId="6" fillId="2" borderId="22" xfId="0" applyFont="1" applyFill="1" applyBorder="1" applyAlignment="1">
      <alignment horizontal="center" vertical="center" textRotation="90"/>
    </xf>
    <xf numFmtId="0" fontId="2" fillId="0" borderId="31" xfId="0" applyFont="1" applyBorder="1"/>
    <xf numFmtId="0" fontId="2" fillId="0" borderId="42" xfId="0" applyFont="1" applyBorder="1"/>
    <xf numFmtId="0" fontId="6" fillId="2" borderId="23" xfId="0" applyFont="1" applyFill="1" applyBorder="1" applyAlignment="1">
      <alignment horizontal="left"/>
    </xf>
    <xf numFmtId="0" fontId="2" fillId="0" borderId="2" xfId="0" applyFont="1" applyBorder="1"/>
    <xf numFmtId="0" fontId="2" fillId="0" borderId="4" xfId="0" applyFont="1" applyBorder="1"/>
    <xf numFmtId="0" fontId="2" fillId="0" borderId="32" xfId="0" applyFont="1" applyBorder="1"/>
    <xf numFmtId="0" fontId="0" fillId="0" borderId="0" xfId="0"/>
    <xf numFmtId="0" fontId="2" fillId="0" borderId="7" xfId="0" applyFont="1" applyBorder="1"/>
    <xf numFmtId="0" fontId="2" fillId="0" borderId="43" xfId="0" applyFont="1" applyBorder="1"/>
    <xf numFmtId="0" fontId="2" fillId="0" borderId="16" xfId="0" applyFont="1" applyBorder="1"/>
    <xf numFmtId="0" fontId="2" fillId="0" borderId="37" xfId="0" applyFont="1" applyBorder="1"/>
    <xf numFmtId="0" fontId="1" fillId="0" borderId="18" xfId="0" applyFont="1" applyBorder="1" applyAlignment="1">
      <alignment horizontal="left" vertical="center"/>
    </xf>
    <xf numFmtId="0" fontId="2" fillId="0" borderId="19" xfId="0" applyFont="1" applyBorder="1"/>
    <xf numFmtId="0" fontId="2" fillId="0" borderId="21" xfId="0" applyFont="1" applyBorder="1"/>
    <xf numFmtId="0" fontId="0" fillId="0" borderId="89" xfId="0" applyBorder="1" applyAlignment="1">
      <alignment horizontal="left" wrapText="1"/>
    </xf>
    <xf numFmtId="0" fontId="0" fillId="0" borderId="90" xfId="0" applyBorder="1" applyAlignment="1">
      <alignment horizontal="left" wrapText="1"/>
    </xf>
    <xf numFmtId="0" fontId="0" fillId="0" borderId="91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2" fillId="0" borderId="5" xfId="0" applyFont="1" applyBorder="1"/>
    <xf numFmtId="0" fontId="2" fillId="0" borderId="15" xfId="0" applyFont="1" applyBorder="1"/>
    <xf numFmtId="0" fontId="9" fillId="0" borderId="22" xfId="0" applyFont="1" applyBorder="1" applyAlignment="1">
      <alignment horizontal="center" vertical="center" textRotation="90" wrapText="1"/>
    </xf>
    <xf numFmtId="0" fontId="9" fillId="0" borderId="39" xfId="0" applyFont="1" applyBorder="1" applyAlignment="1">
      <alignment horizontal="center" vertical="center" textRotation="90" wrapText="1"/>
    </xf>
    <xf numFmtId="0" fontId="2" fillId="0" borderId="38" xfId="0" applyFont="1" applyBorder="1"/>
    <xf numFmtId="0" fontId="2" fillId="0" borderId="44" xfId="0" applyFont="1" applyBorder="1"/>
    <xf numFmtId="0" fontId="6" fillId="2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5" fillId="0" borderId="18" xfId="0" applyFont="1" applyBorder="1" applyAlignment="1">
      <alignment horizontal="center" vertical="center"/>
    </xf>
    <xf numFmtId="0" fontId="2" fillId="0" borderId="20" xfId="0" applyFont="1" applyBorder="1"/>
    <xf numFmtId="0" fontId="5" fillId="0" borderId="16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5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6" fillId="2" borderId="27" xfId="0" applyFont="1" applyFill="1" applyBorder="1" applyAlignment="1">
      <alignment horizontal="center" vertical="center"/>
    </xf>
    <xf numFmtId="0" fontId="2" fillId="0" borderId="33" xfId="0" applyFont="1" applyBorder="1"/>
    <xf numFmtId="0" fontId="2" fillId="0" borderId="47" xfId="0" applyFont="1" applyBorder="1"/>
    <xf numFmtId="0" fontId="9" fillId="0" borderId="23" xfId="0" applyFont="1" applyBorder="1" applyAlignment="1">
      <alignment horizontal="center" vertical="center" textRotation="90" wrapText="1"/>
    </xf>
    <xf numFmtId="0" fontId="9" fillId="0" borderId="40" xfId="0" applyFont="1" applyBorder="1" applyAlignment="1">
      <alignment horizontal="center" vertical="center" textRotation="90" wrapText="1"/>
    </xf>
    <xf numFmtId="0" fontId="2" fillId="0" borderId="41" xfId="0" applyFont="1" applyBorder="1"/>
    <xf numFmtId="0" fontId="2" fillId="0" borderId="45" xfId="0" applyFont="1" applyBorder="1"/>
    <xf numFmtId="0" fontId="6" fillId="2" borderId="30" xfId="0" applyFont="1" applyFill="1" applyBorder="1" applyAlignment="1">
      <alignment horizontal="center" vertical="center" textRotation="90"/>
    </xf>
    <xf numFmtId="0" fontId="2" fillId="0" borderId="36" xfId="0" applyFont="1" applyBorder="1"/>
    <xf numFmtId="0" fontId="2" fillId="0" borderId="46" xfId="0" applyFont="1" applyBorder="1"/>
    <xf numFmtId="0" fontId="7" fillId="2" borderId="84" xfId="0" applyFont="1" applyFill="1" applyBorder="1" applyAlignment="1">
      <alignment horizontal="center" vertical="center" wrapText="1"/>
    </xf>
    <xf numFmtId="0" fontId="2" fillId="0" borderId="82" xfId="0" applyFont="1" applyBorder="1"/>
    <xf numFmtId="0" fontId="2" fillId="0" borderId="27" xfId="0" applyFont="1" applyBorder="1"/>
    <xf numFmtId="0" fontId="2" fillId="0" borderId="86" xfId="0" applyFont="1" applyBorder="1"/>
    <xf numFmtId="0" fontId="2" fillId="0" borderId="83" xfId="0" applyFont="1" applyBorder="1"/>
    <xf numFmtId="0" fontId="9" fillId="0" borderId="31" xfId="0" applyFont="1" applyBorder="1" applyAlignment="1">
      <alignment horizontal="center" vertical="center" textRotation="90" wrapText="1"/>
    </xf>
    <xf numFmtId="0" fontId="9" fillId="0" borderId="38" xfId="0" applyFont="1" applyBorder="1" applyAlignment="1">
      <alignment horizontal="center" vertical="center" textRotation="90" wrapText="1"/>
    </xf>
    <xf numFmtId="0" fontId="9" fillId="0" borderId="32" xfId="0" applyFont="1" applyBorder="1" applyAlignment="1">
      <alignment horizontal="center" vertical="center" textRotation="90" wrapText="1"/>
    </xf>
    <xf numFmtId="0" fontId="9" fillId="0" borderId="41" xfId="0" applyFont="1" applyBorder="1" applyAlignment="1">
      <alignment horizontal="center" vertical="center" textRotation="90" wrapText="1"/>
    </xf>
    <xf numFmtId="0" fontId="7" fillId="2" borderId="30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/>
    </xf>
    <xf numFmtId="0" fontId="2" fillId="0" borderId="14" xfId="0" applyFont="1" applyBorder="1"/>
    <xf numFmtId="0" fontId="7" fillId="2" borderId="35" xfId="0" applyFont="1" applyFill="1" applyBorder="1" applyAlignment="1">
      <alignment horizontal="center" vertical="center" textRotation="90" wrapText="1"/>
    </xf>
    <xf numFmtId="0" fontId="6" fillId="2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8" fillId="2" borderId="34" xfId="0" applyFont="1" applyFill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9" fontId="1" fillId="0" borderId="18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horizontal="left"/>
    </xf>
    <xf numFmtId="0" fontId="2" fillId="0" borderId="50" xfId="0" applyFont="1" applyBorder="1"/>
    <xf numFmtId="0" fontId="2" fillId="0" borderId="66" xfId="0" applyFont="1" applyBorder="1"/>
    <xf numFmtId="0" fontId="1" fillId="0" borderId="65" xfId="0" applyFont="1" applyBorder="1" applyAlignment="1">
      <alignment horizontal="center" vertical="center"/>
    </xf>
    <xf numFmtId="9" fontId="1" fillId="0" borderId="65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67" xfId="0" applyFont="1" applyBorder="1" applyAlignment="1">
      <alignment horizontal="left"/>
    </xf>
    <xf numFmtId="0" fontId="1" fillId="0" borderId="59" xfId="0" applyFont="1" applyBorder="1" applyAlignment="1">
      <alignment horizontal="left"/>
    </xf>
    <xf numFmtId="9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105" xfId="0" applyFont="1" applyFill="1" applyBorder="1" applyAlignment="1">
      <alignment horizontal="left"/>
    </xf>
    <xf numFmtId="0" fontId="2" fillId="0" borderId="106" xfId="0" applyFont="1" applyBorder="1"/>
    <xf numFmtId="0" fontId="2" fillId="0" borderId="107" xfId="0" applyFont="1" applyBorder="1"/>
    <xf numFmtId="0" fontId="2" fillId="0" borderId="108" xfId="0" applyFont="1" applyBorder="1"/>
    <xf numFmtId="0" fontId="2" fillId="0" borderId="109" xfId="0" applyFont="1" applyBorder="1"/>
    <xf numFmtId="0" fontId="2" fillId="0" borderId="110" xfId="0" applyFont="1" applyBorder="1"/>
    <xf numFmtId="0" fontId="2" fillId="0" borderId="111" xfId="0" applyFont="1" applyBorder="1"/>
    <xf numFmtId="0" fontId="2" fillId="0" borderId="112" xfId="0" applyFont="1" applyBorder="1"/>
    <xf numFmtId="0" fontId="9" fillId="0" borderId="101" xfId="0" applyFont="1" applyBorder="1" applyAlignment="1">
      <alignment horizontal="center" vertical="center" textRotation="90" wrapText="1"/>
    </xf>
    <xf numFmtId="0" fontId="2" fillId="0" borderId="102" xfId="0" applyFont="1" applyBorder="1"/>
    <xf numFmtId="0" fontId="2" fillId="0" borderId="103" xfId="0" applyFont="1" applyBorder="1"/>
    <xf numFmtId="0" fontId="2" fillId="0" borderId="0" xfId="0" applyFont="1"/>
    <xf numFmtId="0" fontId="15" fillId="0" borderId="98" xfId="0" applyFont="1" applyBorder="1" applyAlignment="1">
      <alignment horizontal="left" vertical="center"/>
    </xf>
    <xf numFmtId="0" fontId="15" fillId="0" borderId="99" xfId="0" applyFont="1" applyBorder="1" applyAlignment="1">
      <alignment horizontal="left" vertical="center"/>
    </xf>
    <xf numFmtId="0" fontId="15" fillId="0" borderId="100" xfId="0" applyFont="1" applyBorder="1" applyAlignment="1">
      <alignment horizontal="left" vertical="center"/>
    </xf>
    <xf numFmtId="0" fontId="15" fillId="0" borderId="92" xfId="0" applyFont="1" applyBorder="1" applyAlignment="1">
      <alignment horizontal="left" vertical="center"/>
    </xf>
    <xf numFmtId="0" fontId="15" fillId="0" borderId="93" xfId="0" applyFont="1" applyBorder="1" applyAlignment="1">
      <alignment horizontal="left" vertical="center"/>
    </xf>
    <xf numFmtId="0" fontId="15" fillId="0" borderId="94" xfId="0" applyFont="1" applyBorder="1" applyAlignment="1">
      <alignment horizontal="left" vertical="center"/>
    </xf>
    <xf numFmtId="0" fontId="6" fillId="2" borderId="84" xfId="0" applyFont="1" applyFill="1" applyBorder="1" applyAlignment="1">
      <alignment horizontal="center" vertical="center" textRotation="90"/>
    </xf>
    <xf numFmtId="0" fontId="2" fillId="0" borderId="85" xfId="0" applyFont="1" applyBorder="1"/>
    <xf numFmtId="0" fontId="2" fillId="0" borderId="78" xfId="0" applyFont="1" applyBorder="1"/>
    <xf numFmtId="0" fontId="14" fillId="0" borderId="18" xfId="0" applyFont="1" applyBorder="1" applyAlignment="1">
      <alignment horizontal="left" vertical="center"/>
    </xf>
    <xf numFmtId="0" fontId="16" fillId="0" borderId="92" xfId="0" applyFont="1" applyBorder="1" applyAlignment="1">
      <alignment horizontal="left" vertical="center"/>
    </xf>
    <xf numFmtId="0" fontId="16" fillId="0" borderId="93" xfId="0" applyFont="1" applyBorder="1" applyAlignment="1">
      <alignment horizontal="left" vertical="center"/>
    </xf>
    <xf numFmtId="0" fontId="16" fillId="0" borderId="94" xfId="0" applyFont="1" applyBorder="1" applyAlignment="1">
      <alignment horizontal="left" vertical="center"/>
    </xf>
    <xf numFmtId="0" fontId="16" fillId="0" borderId="95" xfId="0" applyFont="1" applyBorder="1" applyAlignment="1">
      <alignment horizontal="left" vertical="center"/>
    </xf>
    <xf numFmtId="0" fontId="16" fillId="0" borderId="96" xfId="0" applyFont="1" applyBorder="1" applyAlignment="1">
      <alignment horizontal="left" vertical="center"/>
    </xf>
    <xf numFmtId="0" fontId="16" fillId="0" borderId="97" xfId="0" applyFont="1" applyBorder="1" applyAlignment="1">
      <alignment horizontal="left" vertical="center"/>
    </xf>
    <xf numFmtId="0" fontId="16" fillId="0" borderId="89" xfId="0" applyFont="1" applyBorder="1" applyAlignment="1">
      <alignment horizontal="left" vertical="center"/>
    </xf>
    <xf numFmtId="0" fontId="16" fillId="0" borderId="90" xfId="0" applyFont="1" applyBorder="1" applyAlignment="1">
      <alignment horizontal="left" vertical="center"/>
    </xf>
    <xf numFmtId="0" fontId="16" fillId="0" borderId="91" xfId="0" applyFont="1" applyBorder="1" applyAlignment="1">
      <alignment horizontal="left" vertical="center"/>
    </xf>
    <xf numFmtId="0" fontId="12" fillId="4" borderId="8" xfId="0" applyFont="1" applyFill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6" fillId="0" borderId="113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70" xfId="0" applyFont="1" applyBorder="1" applyAlignment="1">
      <alignment horizontal="left" vertical="center"/>
    </xf>
    <xf numFmtId="0" fontId="7" fillId="2" borderId="74" xfId="0" applyFont="1" applyFill="1" applyBorder="1" applyAlignment="1">
      <alignment horizontal="center" vertical="center" wrapText="1"/>
    </xf>
    <xf numFmtId="0" fontId="16" fillId="0" borderId="116" xfId="0" applyFont="1" applyBorder="1" applyAlignment="1">
      <alignment horizontal="left" vertical="center"/>
    </xf>
    <xf numFmtId="0" fontId="16" fillId="0" borderId="114" xfId="0" applyFont="1" applyBorder="1" applyAlignment="1">
      <alignment horizontal="left" vertical="center"/>
    </xf>
    <xf numFmtId="0" fontId="1" fillId="0" borderId="59" xfId="0" applyFont="1" applyBorder="1" applyAlignment="1">
      <alignment horizontal="left" vertical="center"/>
    </xf>
    <xf numFmtId="0" fontId="1" fillId="0" borderId="67" xfId="0" applyFont="1" applyBorder="1" applyAlignment="1">
      <alignment horizontal="left" vertical="center"/>
    </xf>
    <xf numFmtId="0" fontId="16" fillId="0" borderId="115" xfId="0" applyFont="1" applyBorder="1" applyAlignment="1">
      <alignment horizontal="left" vertical="center"/>
    </xf>
    <xf numFmtId="0" fontId="6" fillId="2" borderId="30" xfId="0" applyFont="1" applyFill="1" applyBorder="1" applyAlignment="1">
      <alignment horizontal="center" vertical="center"/>
    </xf>
    <xf numFmtId="0" fontId="9" fillId="0" borderId="117" xfId="0" applyFont="1" applyBorder="1" applyAlignment="1">
      <alignment horizontal="center" vertical="center" textRotation="90" wrapText="1"/>
    </xf>
    <xf numFmtId="0" fontId="2" fillId="0" borderId="118" xfId="0" applyFont="1" applyBorder="1"/>
    <xf numFmtId="0" fontId="2" fillId="0" borderId="119" xfId="0" applyFont="1" applyBorder="1"/>
  </cellXfs>
  <cellStyles count="1">
    <cellStyle name="Normal" xfId="0" builtinId="0"/>
  </cellStyles>
  <dxfs count="205"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1F497D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1F497D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1F497D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1F497D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1F497D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strike/>
        <color rgb="FF7030A0"/>
      </font>
      <fill>
        <patternFill patternType="none"/>
      </fill>
    </dxf>
    <dxf>
      <font>
        <b/>
        <color rgb="FF0070C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1981200</xdr:colOff>
      <xdr:row>7</xdr:row>
      <xdr:rowOff>57150</xdr:rowOff>
    </xdr:from>
    <xdr:ext cx="266700" cy="1304925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16200000">
          <a:off x="2420471" y="2925856"/>
          <a:ext cx="1311088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CAPACIDADES</a:t>
          </a:r>
        </a:p>
      </xdr:txBody>
    </xdr:sp>
    <xdr:clientData fLocksWithSheet="0"/>
  </xdr:oneCellAnchor>
  <xdr:oneCellAnchor>
    <xdr:from>
      <xdr:col>31</xdr:col>
      <xdr:colOff>361950</xdr:colOff>
      <xdr:row>31</xdr:row>
      <xdr:rowOff>180975</xdr:rowOff>
    </xdr:from>
    <xdr:ext cx="4133850" cy="11906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74345" y="9463847"/>
          <a:ext cx="1563733" cy="1190626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PE" sz="1200">
              <a:latin typeface="Arial Narrow" panose="020B0606020202030204" pitchFamily="34" charset="0"/>
            </a:rPr>
            <a:t>Los porcentajes de aprobados, desaprobados y nivel de logro, se han calculado en base al número de estudiantes evaluados.</a:t>
          </a:r>
        </a:p>
      </xdr:txBody>
    </xdr:sp>
    <xdr:clientData fLocksWithSheet="0"/>
  </xdr:oneCellAnchor>
  <xdr:oneCellAnchor>
    <xdr:from>
      <xdr:col>0</xdr:col>
      <xdr:colOff>66675</xdr:colOff>
      <xdr:row>0</xdr:row>
      <xdr:rowOff>95250</xdr:rowOff>
    </xdr:from>
    <xdr:ext cx="819150" cy="9429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133350</xdr:colOff>
      <xdr:row>0</xdr:row>
      <xdr:rowOff>0</xdr:rowOff>
    </xdr:from>
    <xdr:ext cx="3028950" cy="5810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133350</xdr:colOff>
      <xdr:row>0</xdr:row>
      <xdr:rowOff>0</xdr:rowOff>
    </xdr:from>
    <xdr:ext cx="3028950" cy="581025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32</xdr:col>
      <xdr:colOff>742950</xdr:colOff>
      <xdr:row>0</xdr:row>
      <xdr:rowOff>47625</xdr:rowOff>
    </xdr:from>
    <xdr:to>
      <xdr:col>32</xdr:col>
      <xdr:colOff>1419225</xdr:colOff>
      <xdr:row>3</xdr:row>
      <xdr:rowOff>159438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685AB7F-DD8B-4822-80E0-A92608B3A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69125" y="47625"/>
          <a:ext cx="676275" cy="988113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1981200</xdr:colOff>
      <xdr:row>7</xdr:row>
      <xdr:rowOff>57150</xdr:rowOff>
    </xdr:from>
    <xdr:ext cx="266700" cy="130492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 rot="16200000">
          <a:off x="2420471" y="2449606"/>
          <a:ext cx="1311088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CAPACIDADES</a:t>
          </a:r>
        </a:p>
      </xdr:txBody>
    </xdr:sp>
    <xdr:clientData fLocksWithSheet="0"/>
  </xdr:oneCellAnchor>
  <xdr:oneCellAnchor>
    <xdr:from>
      <xdr:col>31</xdr:col>
      <xdr:colOff>361950</xdr:colOff>
      <xdr:row>32</xdr:row>
      <xdr:rowOff>180975</xdr:rowOff>
    </xdr:from>
    <xdr:ext cx="4648200" cy="119062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1226695" y="8987597"/>
          <a:ext cx="2459083" cy="1181101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PE" sz="1200">
              <a:latin typeface="Arial Narrow" panose="020B0606020202030204" pitchFamily="34" charset="0"/>
            </a:rPr>
            <a:t>Los porcentajes de aprobados, desaprobados y nivel de logro, se han calculado en base al número de estudiantes evaluados.</a:t>
          </a:r>
        </a:p>
      </xdr:txBody>
    </xdr:sp>
    <xdr:clientData fLocksWithSheet="0"/>
  </xdr:oneCellAnchor>
  <xdr:oneCellAnchor>
    <xdr:from>
      <xdr:col>0</xdr:col>
      <xdr:colOff>66675</xdr:colOff>
      <xdr:row>0</xdr:row>
      <xdr:rowOff>95250</xdr:rowOff>
    </xdr:from>
    <xdr:ext cx="819150" cy="9429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133350</xdr:colOff>
      <xdr:row>0</xdr:row>
      <xdr:rowOff>0</xdr:rowOff>
    </xdr:from>
    <xdr:ext cx="3028950" cy="58102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1981200</xdr:colOff>
      <xdr:row>7</xdr:row>
      <xdr:rowOff>57150</xdr:rowOff>
    </xdr:from>
    <xdr:ext cx="266700" cy="1304925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 rot="16200000">
          <a:off x="2420471" y="2925856"/>
          <a:ext cx="1311088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CAPACIDADES</a:t>
          </a:r>
        </a:p>
      </xdr:txBody>
    </xdr:sp>
    <xdr:clientData fLocksWithSheet="0"/>
  </xdr:oneCellAnchor>
  <xdr:oneCellAnchor>
    <xdr:from>
      <xdr:col>31</xdr:col>
      <xdr:colOff>361950</xdr:colOff>
      <xdr:row>30</xdr:row>
      <xdr:rowOff>180975</xdr:rowOff>
    </xdr:from>
    <xdr:ext cx="4048125" cy="11906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474345" y="9463847"/>
          <a:ext cx="1563733" cy="1190626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PE" sz="1200">
              <a:latin typeface="Arial Narrow" panose="020B0606020202030204" pitchFamily="34" charset="0"/>
            </a:rPr>
            <a:t>Los porcentajes de aprobados, desaprobados y nivel de logro, se han calculado en base al número de estudiantes evaluados.</a:t>
          </a:r>
        </a:p>
      </xdr:txBody>
    </xdr:sp>
    <xdr:clientData fLocksWithSheet="0"/>
  </xdr:oneCellAnchor>
  <xdr:oneCellAnchor>
    <xdr:from>
      <xdr:col>0</xdr:col>
      <xdr:colOff>66675</xdr:colOff>
      <xdr:row>0</xdr:row>
      <xdr:rowOff>95250</xdr:rowOff>
    </xdr:from>
    <xdr:ext cx="819150" cy="942975"/>
    <xdr:pic>
      <xdr:nvPicPr>
        <xdr:cNvPr id="4" name="image8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133350</xdr:colOff>
      <xdr:row>0</xdr:row>
      <xdr:rowOff>0</xdr:rowOff>
    </xdr:from>
    <xdr:ext cx="3028950" cy="581025"/>
    <xdr:pic>
      <xdr:nvPicPr>
        <xdr:cNvPr id="5" name="image9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133350</xdr:colOff>
      <xdr:row>0</xdr:row>
      <xdr:rowOff>0</xdr:rowOff>
    </xdr:from>
    <xdr:ext cx="3028950" cy="581025"/>
    <xdr:pic>
      <xdr:nvPicPr>
        <xdr:cNvPr id="7" name="image11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1981200</xdr:colOff>
      <xdr:row>7</xdr:row>
      <xdr:rowOff>57150</xdr:rowOff>
    </xdr:from>
    <xdr:ext cx="266700" cy="1304925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 rot="16200000">
          <a:off x="2420471" y="2925856"/>
          <a:ext cx="1311088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CAPACIDADES</a:t>
          </a:r>
        </a:p>
      </xdr:txBody>
    </xdr:sp>
    <xdr:clientData fLocksWithSheet="0"/>
  </xdr:oneCellAnchor>
  <xdr:oneCellAnchor>
    <xdr:from>
      <xdr:col>31</xdr:col>
      <xdr:colOff>361950</xdr:colOff>
      <xdr:row>30</xdr:row>
      <xdr:rowOff>180975</xdr:rowOff>
    </xdr:from>
    <xdr:ext cx="4133850" cy="11906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1474345" y="9463847"/>
          <a:ext cx="1563733" cy="1190626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PE" sz="1200">
              <a:latin typeface="Arial Narrow" panose="020B0606020202030204" pitchFamily="34" charset="0"/>
            </a:rPr>
            <a:t>Los porcentajes de aprobados, desaprobados y nivel de logro, se han calculado en base al número de estudiantes evaluados.</a:t>
          </a:r>
        </a:p>
      </xdr:txBody>
    </xdr:sp>
    <xdr:clientData fLocksWithSheet="0"/>
  </xdr:oneCellAnchor>
  <xdr:oneCellAnchor>
    <xdr:from>
      <xdr:col>0</xdr:col>
      <xdr:colOff>66675</xdr:colOff>
      <xdr:row>0</xdr:row>
      <xdr:rowOff>95250</xdr:rowOff>
    </xdr:from>
    <xdr:ext cx="819150" cy="942975"/>
    <xdr:pic>
      <xdr:nvPicPr>
        <xdr:cNvPr id="4" name="image12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133350</xdr:colOff>
      <xdr:row>0</xdr:row>
      <xdr:rowOff>0</xdr:rowOff>
    </xdr:from>
    <xdr:ext cx="3028950" cy="581025"/>
    <xdr:pic>
      <xdr:nvPicPr>
        <xdr:cNvPr id="5" name="image13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133350</xdr:colOff>
      <xdr:row>0</xdr:row>
      <xdr:rowOff>0</xdr:rowOff>
    </xdr:from>
    <xdr:ext cx="3028950" cy="581025"/>
    <xdr:pic>
      <xdr:nvPicPr>
        <xdr:cNvPr id="7" name="image15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1981200</xdr:colOff>
      <xdr:row>7</xdr:row>
      <xdr:rowOff>57150</xdr:rowOff>
    </xdr:from>
    <xdr:ext cx="266700" cy="1304925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 rot="16200000">
          <a:off x="2420471" y="2925856"/>
          <a:ext cx="1311088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CAPACIDADES</a:t>
          </a:r>
        </a:p>
      </xdr:txBody>
    </xdr:sp>
    <xdr:clientData fLocksWithSheet="0"/>
  </xdr:oneCellAnchor>
  <xdr:oneCellAnchor>
    <xdr:from>
      <xdr:col>31</xdr:col>
      <xdr:colOff>361950</xdr:colOff>
      <xdr:row>30</xdr:row>
      <xdr:rowOff>180975</xdr:rowOff>
    </xdr:from>
    <xdr:ext cx="4133850" cy="11906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1474345" y="9463847"/>
          <a:ext cx="1563733" cy="1190626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PE" sz="1200">
              <a:latin typeface="Arial Narrow" panose="020B0606020202030204" pitchFamily="34" charset="0"/>
            </a:rPr>
            <a:t>Los porcentajes de aprobados, desaprobados y nivel de logro, se han calculado en base al número de estudiantes evaluados.</a:t>
          </a:r>
        </a:p>
      </xdr:txBody>
    </xdr:sp>
    <xdr:clientData fLocksWithSheet="0"/>
  </xdr:oneCellAnchor>
  <xdr:oneCellAnchor>
    <xdr:from>
      <xdr:col>0</xdr:col>
      <xdr:colOff>66675</xdr:colOff>
      <xdr:row>0</xdr:row>
      <xdr:rowOff>95250</xdr:rowOff>
    </xdr:from>
    <xdr:ext cx="819150" cy="942975"/>
    <xdr:pic>
      <xdr:nvPicPr>
        <xdr:cNvPr id="4" name="image16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133350</xdr:colOff>
      <xdr:row>0</xdr:row>
      <xdr:rowOff>0</xdr:rowOff>
    </xdr:from>
    <xdr:ext cx="3028950" cy="581025"/>
    <xdr:pic>
      <xdr:nvPicPr>
        <xdr:cNvPr id="5" name="image17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133350</xdr:colOff>
      <xdr:row>0</xdr:row>
      <xdr:rowOff>0</xdr:rowOff>
    </xdr:from>
    <xdr:ext cx="3028950" cy="581025"/>
    <xdr:pic>
      <xdr:nvPicPr>
        <xdr:cNvPr id="7" name="image19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6"/>
  <sheetViews>
    <sheetView topLeftCell="T1" workbookViewId="0">
      <selection activeCell="X8" sqref="X8:X15"/>
    </sheetView>
  </sheetViews>
  <sheetFormatPr baseColWidth="10" defaultColWidth="14.42578125" defaultRowHeight="15" customHeight="1"/>
  <cols>
    <col min="1" max="4" width="3.5703125" customWidth="1"/>
    <col min="5" max="5" width="37.85546875" customWidth="1"/>
    <col min="6" max="10" width="4.7109375" customWidth="1"/>
    <col min="11" max="11" width="6.7109375" customWidth="1"/>
    <col min="12" max="12" width="36.85546875" customWidth="1"/>
    <col min="13" max="17" width="4.7109375" customWidth="1"/>
    <col min="18" max="18" width="6.7109375" customWidth="1"/>
    <col min="19" max="19" width="36.85546875" customWidth="1"/>
    <col min="20" max="24" width="4.7109375" customWidth="1"/>
    <col min="25" max="25" width="6.7109375" customWidth="1"/>
    <col min="26" max="26" width="36.85546875" customWidth="1"/>
    <col min="27" max="31" width="4.7109375" customWidth="1"/>
    <col min="32" max="32" width="6.7109375" customWidth="1"/>
    <col min="33" max="33" width="38.42578125" customWidth="1"/>
    <col min="34" max="43" width="6.7109375" customWidth="1"/>
    <col min="44" max="45" width="10.7109375" customWidth="1"/>
  </cols>
  <sheetData>
    <row r="1" spans="1:45" ht="24.75" customHeight="1">
      <c r="A1" s="117"/>
      <c r="B1" s="103"/>
      <c r="C1" s="103"/>
      <c r="D1" s="103"/>
      <c r="E1" s="1" t="s">
        <v>0</v>
      </c>
      <c r="F1" s="130" t="s">
        <v>106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4"/>
    </row>
    <row r="2" spans="1:45" ht="24.75" customHeight="1">
      <c r="A2" s="118"/>
      <c r="B2" s="106"/>
      <c r="C2" s="106"/>
      <c r="D2" s="106"/>
      <c r="E2" s="2" t="s">
        <v>1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7"/>
    </row>
    <row r="3" spans="1:45" ht="19.5" customHeight="1">
      <c r="A3" s="118"/>
      <c r="B3" s="106"/>
      <c r="C3" s="106"/>
      <c r="D3" s="106"/>
      <c r="E3" s="2" t="s">
        <v>2</v>
      </c>
      <c r="F3" s="131" t="s">
        <v>3</v>
      </c>
      <c r="G3" s="106"/>
      <c r="H3" s="106"/>
      <c r="I3" s="132" t="s">
        <v>4</v>
      </c>
      <c r="J3" s="133"/>
      <c r="K3" s="133"/>
      <c r="L3" s="133"/>
      <c r="M3" s="133"/>
      <c r="N3" s="134"/>
      <c r="O3" s="135" t="s">
        <v>5</v>
      </c>
      <c r="P3" s="136"/>
      <c r="Q3" s="137"/>
      <c r="R3" s="132" t="s">
        <v>6</v>
      </c>
      <c r="S3" s="133"/>
      <c r="T3" s="133"/>
      <c r="U3" s="133"/>
      <c r="V3" s="134"/>
      <c r="W3" s="131" t="s">
        <v>7</v>
      </c>
      <c r="X3" s="106"/>
      <c r="Y3" s="106"/>
      <c r="Z3" s="106"/>
      <c r="AA3" s="106"/>
      <c r="AB3" s="132" t="s">
        <v>8</v>
      </c>
      <c r="AC3" s="133"/>
      <c r="AD3" s="133"/>
      <c r="AE3" s="134"/>
      <c r="AF3" s="3"/>
      <c r="AG3" s="3"/>
      <c r="AH3" s="131" t="s">
        <v>9</v>
      </c>
      <c r="AI3" s="106"/>
      <c r="AJ3" s="159"/>
      <c r="AK3" s="133"/>
      <c r="AL3" s="133"/>
      <c r="AM3" s="133"/>
      <c r="AN3" s="133"/>
      <c r="AO3" s="133"/>
      <c r="AP3" s="133"/>
      <c r="AQ3" s="160"/>
    </row>
    <row r="4" spans="1:45" ht="19.5" customHeight="1">
      <c r="A4" s="119"/>
      <c r="B4" s="109"/>
      <c r="C4" s="109"/>
      <c r="D4" s="109"/>
      <c r="E4" s="4" t="s">
        <v>10</v>
      </c>
      <c r="F4" s="5" t="s">
        <v>11</v>
      </c>
      <c r="G4" s="5"/>
      <c r="H4" s="5"/>
      <c r="I4" s="127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28"/>
      <c r="W4" s="129" t="s">
        <v>13</v>
      </c>
      <c r="X4" s="109"/>
      <c r="Y4" s="109"/>
      <c r="Z4" s="109"/>
      <c r="AA4" s="109"/>
      <c r="AB4" s="127" t="s">
        <v>12</v>
      </c>
      <c r="AC4" s="112"/>
      <c r="AD4" s="112"/>
      <c r="AE4" s="128"/>
      <c r="AF4" s="6"/>
      <c r="AG4" s="6"/>
      <c r="AH4" s="129" t="s">
        <v>14</v>
      </c>
      <c r="AI4" s="109"/>
      <c r="AJ4" s="127"/>
      <c r="AK4" s="112"/>
      <c r="AL4" s="112"/>
      <c r="AM4" s="112"/>
      <c r="AN4" s="112"/>
      <c r="AO4" s="112"/>
      <c r="AP4" s="112"/>
      <c r="AQ4" s="113"/>
    </row>
    <row r="5" spans="1:45" ht="19.5" customHeight="1" thickBot="1">
      <c r="A5" s="99" t="s">
        <v>15</v>
      </c>
      <c r="B5" s="102" t="s">
        <v>16</v>
      </c>
      <c r="C5" s="103"/>
      <c r="D5" s="103"/>
      <c r="E5" s="104"/>
      <c r="F5" s="124" t="s">
        <v>17</v>
      </c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6"/>
      <c r="AG5" s="138" t="s">
        <v>18</v>
      </c>
      <c r="AH5" s="162" t="s">
        <v>19</v>
      </c>
      <c r="AI5" s="125"/>
      <c r="AJ5" s="125"/>
      <c r="AK5" s="163"/>
      <c r="AL5" s="145" t="s">
        <v>20</v>
      </c>
      <c r="AM5" s="162" t="s">
        <v>21</v>
      </c>
      <c r="AN5" s="125"/>
      <c r="AO5" s="125"/>
      <c r="AP5" s="163"/>
      <c r="AQ5" s="145" t="s">
        <v>22</v>
      </c>
    </row>
    <row r="6" spans="1:45" ht="19.5" customHeight="1">
      <c r="A6" s="100"/>
      <c r="B6" s="105"/>
      <c r="C6" s="106"/>
      <c r="D6" s="106"/>
      <c r="E6" s="107"/>
      <c r="F6" s="148" t="s">
        <v>109</v>
      </c>
      <c r="G6" s="149"/>
      <c r="H6" s="149"/>
      <c r="I6" s="149"/>
      <c r="J6" s="149"/>
      <c r="K6" s="150"/>
      <c r="L6" s="157" t="s">
        <v>18</v>
      </c>
      <c r="M6" s="148" t="s">
        <v>108</v>
      </c>
      <c r="N6" s="149"/>
      <c r="O6" s="149"/>
      <c r="P6" s="149"/>
      <c r="Q6" s="149"/>
      <c r="R6" s="150"/>
      <c r="S6" s="157" t="s">
        <v>18</v>
      </c>
      <c r="T6" s="148"/>
      <c r="U6" s="149"/>
      <c r="V6" s="149"/>
      <c r="W6" s="149"/>
      <c r="X6" s="149"/>
      <c r="Y6" s="150"/>
      <c r="Z6" s="157" t="s">
        <v>18</v>
      </c>
      <c r="AA6" s="148"/>
      <c r="AB6" s="149"/>
      <c r="AC6" s="149"/>
      <c r="AD6" s="149"/>
      <c r="AE6" s="149"/>
      <c r="AF6" s="150"/>
      <c r="AG6" s="139"/>
      <c r="AH6" s="164"/>
      <c r="AI6" s="158"/>
      <c r="AJ6" s="158"/>
      <c r="AK6" s="161"/>
      <c r="AL6" s="146"/>
      <c r="AM6" s="164"/>
      <c r="AN6" s="158"/>
      <c r="AO6" s="158"/>
      <c r="AP6" s="161"/>
      <c r="AQ6" s="146"/>
    </row>
    <row r="7" spans="1:45" ht="57" customHeight="1" thickBot="1">
      <c r="A7" s="100"/>
      <c r="B7" s="105"/>
      <c r="C7" s="106"/>
      <c r="D7" s="106"/>
      <c r="E7" s="107"/>
      <c r="F7" s="151"/>
      <c r="G7" s="152"/>
      <c r="H7" s="152"/>
      <c r="I7" s="152"/>
      <c r="J7" s="152"/>
      <c r="K7" s="140"/>
      <c r="L7" s="146"/>
      <c r="M7" s="151"/>
      <c r="N7" s="152"/>
      <c r="O7" s="152"/>
      <c r="P7" s="152"/>
      <c r="Q7" s="152"/>
      <c r="R7" s="140"/>
      <c r="S7" s="146"/>
      <c r="T7" s="151"/>
      <c r="U7" s="152"/>
      <c r="V7" s="152"/>
      <c r="W7" s="152"/>
      <c r="X7" s="152"/>
      <c r="Y7" s="140"/>
      <c r="Z7" s="146"/>
      <c r="AA7" s="151"/>
      <c r="AB7" s="152"/>
      <c r="AC7" s="152"/>
      <c r="AD7" s="152"/>
      <c r="AE7" s="152"/>
      <c r="AF7" s="140"/>
      <c r="AG7" s="139"/>
      <c r="AH7" s="100"/>
      <c r="AI7" s="122"/>
      <c r="AJ7" s="122"/>
      <c r="AK7" s="122"/>
      <c r="AL7" s="146"/>
      <c r="AM7" s="100"/>
      <c r="AN7" s="122"/>
      <c r="AO7" s="122"/>
      <c r="AP7" s="122"/>
      <c r="AQ7" s="146"/>
    </row>
    <row r="8" spans="1:45" ht="19.5" customHeight="1">
      <c r="A8" s="100"/>
      <c r="B8" s="105"/>
      <c r="C8" s="106"/>
      <c r="D8" s="106"/>
      <c r="E8" s="107"/>
      <c r="F8" s="120"/>
      <c r="G8" s="121"/>
      <c r="H8" s="141"/>
      <c r="I8" s="142"/>
      <c r="J8" s="141"/>
      <c r="K8" s="145" t="s">
        <v>23</v>
      </c>
      <c r="L8" s="146"/>
      <c r="M8" s="120"/>
      <c r="N8" s="121"/>
      <c r="O8" s="141"/>
      <c r="P8" s="142"/>
      <c r="Q8" s="141"/>
      <c r="R8" s="145" t="s">
        <v>23</v>
      </c>
      <c r="S8" s="146"/>
      <c r="T8" s="120"/>
      <c r="U8" s="121"/>
      <c r="V8" s="141"/>
      <c r="W8" s="141"/>
      <c r="X8" s="225"/>
      <c r="Y8" s="145" t="s">
        <v>23</v>
      </c>
      <c r="Z8" s="146"/>
      <c r="AA8" s="153"/>
      <c r="AB8" s="154"/>
      <c r="AC8" s="155"/>
      <c r="AD8" s="155"/>
      <c r="AE8" s="156"/>
      <c r="AF8" s="145" t="s">
        <v>23</v>
      </c>
      <c r="AG8" s="139"/>
      <c r="AH8" s="100"/>
      <c r="AI8" s="122"/>
      <c r="AJ8" s="122"/>
      <c r="AK8" s="122"/>
      <c r="AL8" s="146"/>
      <c r="AM8" s="100"/>
      <c r="AN8" s="122"/>
      <c r="AO8" s="122"/>
      <c r="AP8" s="122"/>
      <c r="AQ8" s="146"/>
    </row>
    <row r="9" spans="1:45" ht="19.5" customHeight="1">
      <c r="A9" s="100"/>
      <c r="B9" s="105"/>
      <c r="C9" s="106"/>
      <c r="D9" s="106"/>
      <c r="E9" s="107"/>
      <c r="F9" s="100"/>
      <c r="G9" s="122"/>
      <c r="H9" s="105"/>
      <c r="I9" s="143"/>
      <c r="J9" s="105"/>
      <c r="K9" s="146"/>
      <c r="L9" s="146"/>
      <c r="M9" s="100"/>
      <c r="N9" s="122"/>
      <c r="O9" s="105"/>
      <c r="P9" s="143"/>
      <c r="Q9" s="105"/>
      <c r="R9" s="146"/>
      <c r="S9" s="146"/>
      <c r="T9" s="100"/>
      <c r="U9" s="122"/>
      <c r="V9" s="105"/>
      <c r="W9" s="105"/>
      <c r="X9" s="226"/>
      <c r="Y9" s="146"/>
      <c r="Z9" s="146"/>
      <c r="AA9" s="100"/>
      <c r="AB9" s="122"/>
      <c r="AC9" s="105"/>
      <c r="AD9" s="105"/>
      <c r="AE9" s="143"/>
      <c r="AF9" s="146"/>
      <c r="AG9" s="139"/>
      <c r="AH9" s="100"/>
      <c r="AI9" s="122"/>
      <c r="AJ9" s="122"/>
      <c r="AK9" s="122"/>
      <c r="AL9" s="146"/>
      <c r="AM9" s="100"/>
      <c r="AN9" s="122"/>
      <c r="AO9" s="122"/>
      <c r="AP9" s="122"/>
      <c r="AQ9" s="146"/>
    </row>
    <row r="10" spans="1:45" ht="19.5" customHeight="1">
      <c r="A10" s="100"/>
      <c r="B10" s="105"/>
      <c r="C10" s="106"/>
      <c r="D10" s="106"/>
      <c r="E10" s="107"/>
      <c r="F10" s="100"/>
      <c r="G10" s="122"/>
      <c r="H10" s="105"/>
      <c r="I10" s="143"/>
      <c r="J10" s="105"/>
      <c r="K10" s="146"/>
      <c r="L10" s="146"/>
      <c r="M10" s="100"/>
      <c r="N10" s="122"/>
      <c r="O10" s="105"/>
      <c r="P10" s="143"/>
      <c r="Q10" s="105"/>
      <c r="R10" s="146"/>
      <c r="S10" s="146"/>
      <c r="T10" s="100"/>
      <c r="U10" s="122"/>
      <c r="V10" s="105"/>
      <c r="W10" s="105"/>
      <c r="X10" s="226"/>
      <c r="Y10" s="146"/>
      <c r="Z10" s="146"/>
      <c r="AA10" s="100"/>
      <c r="AB10" s="122"/>
      <c r="AC10" s="105"/>
      <c r="AD10" s="105"/>
      <c r="AE10" s="143"/>
      <c r="AF10" s="146"/>
      <c r="AG10" s="139"/>
      <c r="AH10" s="100"/>
      <c r="AI10" s="122"/>
      <c r="AJ10" s="122"/>
      <c r="AK10" s="122"/>
      <c r="AL10" s="146"/>
      <c r="AM10" s="100"/>
      <c r="AN10" s="122"/>
      <c r="AO10" s="122"/>
      <c r="AP10" s="122"/>
      <c r="AQ10" s="146"/>
    </row>
    <row r="11" spans="1:45" ht="19.5" customHeight="1">
      <c r="A11" s="100"/>
      <c r="B11" s="105"/>
      <c r="C11" s="106"/>
      <c r="D11" s="106"/>
      <c r="E11" s="107"/>
      <c r="F11" s="100"/>
      <c r="G11" s="122"/>
      <c r="H11" s="105"/>
      <c r="I11" s="143"/>
      <c r="J11" s="105"/>
      <c r="K11" s="146"/>
      <c r="L11" s="146"/>
      <c r="M11" s="100"/>
      <c r="N11" s="122"/>
      <c r="O11" s="105"/>
      <c r="P11" s="143"/>
      <c r="Q11" s="105"/>
      <c r="R11" s="146"/>
      <c r="S11" s="146"/>
      <c r="T11" s="100"/>
      <c r="U11" s="122"/>
      <c r="V11" s="105"/>
      <c r="W11" s="105"/>
      <c r="X11" s="226"/>
      <c r="Y11" s="146"/>
      <c r="Z11" s="146"/>
      <c r="AA11" s="100"/>
      <c r="AB11" s="122"/>
      <c r="AC11" s="105"/>
      <c r="AD11" s="105"/>
      <c r="AE11" s="143"/>
      <c r="AF11" s="146"/>
      <c r="AG11" s="139"/>
      <c r="AH11" s="100"/>
      <c r="AI11" s="122"/>
      <c r="AJ11" s="122"/>
      <c r="AK11" s="122"/>
      <c r="AL11" s="146"/>
      <c r="AM11" s="100"/>
      <c r="AN11" s="122"/>
      <c r="AO11" s="122"/>
      <c r="AP11" s="122"/>
      <c r="AQ11" s="146"/>
    </row>
    <row r="12" spans="1:45" ht="19.5" customHeight="1">
      <c r="A12" s="100"/>
      <c r="B12" s="105"/>
      <c r="C12" s="106"/>
      <c r="D12" s="106"/>
      <c r="E12" s="107"/>
      <c r="F12" s="100"/>
      <c r="G12" s="122"/>
      <c r="H12" s="105"/>
      <c r="I12" s="143"/>
      <c r="J12" s="105"/>
      <c r="K12" s="146"/>
      <c r="L12" s="146"/>
      <c r="M12" s="100"/>
      <c r="N12" s="122"/>
      <c r="O12" s="105"/>
      <c r="P12" s="143"/>
      <c r="Q12" s="105"/>
      <c r="R12" s="146"/>
      <c r="S12" s="146"/>
      <c r="T12" s="100"/>
      <c r="U12" s="122"/>
      <c r="V12" s="105"/>
      <c r="W12" s="105"/>
      <c r="X12" s="226"/>
      <c r="Y12" s="146"/>
      <c r="Z12" s="146"/>
      <c r="AA12" s="100"/>
      <c r="AB12" s="122"/>
      <c r="AC12" s="105"/>
      <c r="AD12" s="105"/>
      <c r="AE12" s="143"/>
      <c r="AF12" s="146"/>
      <c r="AG12" s="139"/>
      <c r="AH12" s="100"/>
      <c r="AI12" s="122"/>
      <c r="AJ12" s="122"/>
      <c r="AK12" s="122"/>
      <c r="AL12" s="146"/>
      <c r="AM12" s="100"/>
      <c r="AN12" s="122"/>
      <c r="AO12" s="122"/>
      <c r="AP12" s="122"/>
      <c r="AQ12" s="146"/>
    </row>
    <row r="13" spans="1:45" ht="19.5" customHeight="1">
      <c r="A13" s="100"/>
      <c r="B13" s="105"/>
      <c r="C13" s="106"/>
      <c r="D13" s="106"/>
      <c r="E13" s="107"/>
      <c r="F13" s="100"/>
      <c r="G13" s="122"/>
      <c r="H13" s="105"/>
      <c r="I13" s="143"/>
      <c r="J13" s="105"/>
      <c r="K13" s="146"/>
      <c r="L13" s="146"/>
      <c r="M13" s="100"/>
      <c r="N13" s="122"/>
      <c r="O13" s="105"/>
      <c r="P13" s="143"/>
      <c r="Q13" s="105"/>
      <c r="R13" s="146"/>
      <c r="S13" s="146"/>
      <c r="T13" s="100"/>
      <c r="U13" s="122"/>
      <c r="V13" s="105"/>
      <c r="W13" s="105"/>
      <c r="X13" s="226"/>
      <c r="Y13" s="146"/>
      <c r="Z13" s="146"/>
      <c r="AA13" s="100"/>
      <c r="AB13" s="122"/>
      <c r="AC13" s="105"/>
      <c r="AD13" s="105"/>
      <c r="AE13" s="143"/>
      <c r="AF13" s="146"/>
      <c r="AG13" s="139"/>
      <c r="AH13" s="100"/>
      <c r="AI13" s="122"/>
      <c r="AJ13" s="122"/>
      <c r="AK13" s="122"/>
      <c r="AL13" s="146"/>
      <c r="AM13" s="100"/>
      <c r="AN13" s="122"/>
      <c r="AO13" s="122"/>
      <c r="AP13" s="122"/>
      <c r="AQ13" s="146"/>
    </row>
    <row r="14" spans="1:45" ht="19.5" customHeight="1">
      <c r="A14" s="100"/>
      <c r="B14" s="105"/>
      <c r="C14" s="106"/>
      <c r="D14" s="106"/>
      <c r="E14" s="107"/>
      <c r="F14" s="100"/>
      <c r="G14" s="122"/>
      <c r="H14" s="105"/>
      <c r="I14" s="143"/>
      <c r="J14" s="105"/>
      <c r="K14" s="146"/>
      <c r="L14" s="146"/>
      <c r="M14" s="100"/>
      <c r="N14" s="122"/>
      <c r="O14" s="105"/>
      <c r="P14" s="143"/>
      <c r="Q14" s="105"/>
      <c r="R14" s="146"/>
      <c r="S14" s="146"/>
      <c r="T14" s="100"/>
      <c r="U14" s="122"/>
      <c r="V14" s="105"/>
      <c r="W14" s="105"/>
      <c r="X14" s="226"/>
      <c r="Y14" s="146"/>
      <c r="Z14" s="146"/>
      <c r="AA14" s="100"/>
      <c r="AB14" s="122"/>
      <c r="AC14" s="105"/>
      <c r="AD14" s="105"/>
      <c r="AE14" s="143"/>
      <c r="AF14" s="146"/>
      <c r="AG14" s="139"/>
      <c r="AH14" s="100"/>
      <c r="AI14" s="122"/>
      <c r="AJ14" s="122"/>
      <c r="AK14" s="122"/>
      <c r="AL14" s="146"/>
      <c r="AM14" s="100"/>
      <c r="AN14" s="122"/>
      <c r="AO14" s="122"/>
      <c r="AP14" s="122"/>
      <c r="AQ14" s="146"/>
    </row>
    <row r="15" spans="1:45" ht="19.5" customHeight="1" thickBot="1">
      <c r="A15" s="101"/>
      <c r="B15" s="108"/>
      <c r="C15" s="109"/>
      <c r="D15" s="109"/>
      <c r="E15" s="110"/>
      <c r="F15" s="101"/>
      <c r="G15" s="123"/>
      <c r="H15" s="108"/>
      <c r="I15" s="144"/>
      <c r="J15" s="108"/>
      <c r="K15" s="147"/>
      <c r="L15" s="147"/>
      <c r="M15" s="101"/>
      <c r="N15" s="123"/>
      <c r="O15" s="108"/>
      <c r="P15" s="144"/>
      <c r="Q15" s="108"/>
      <c r="R15" s="147"/>
      <c r="S15" s="147"/>
      <c r="T15" s="101"/>
      <c r="U15" s="123"/>
      <c r="V15" s="108"/>
      <c r="W15" s="108"/>
      <c r="X15" s="227"/>
      <c r="Y15" s="147"/>
      <c r="Z15" s="147"/>
      <c r="AA15" s="101"/>
      <c r="AB15" s="123"/>
      <c r="AC15" s="108"/>
      <c r="AD15" s="108"/>
      <c r="AE15" s="144"/>
      <c r="AF15" s="147"/>
      <c r="AG15" s="140"/>
      <c r="AH15" s="101"/>
      <c r="AI15" s="123"/>
      <c r="AJ15" s="123"/>
      <c r="AK15" s="123"/>
      <c r="AL15" s="147"/>
      <c r="AM15" s="101"/>
      <c r="AN15" s="123"/>
      <c r="AO15" s="123"/>
      <c r="AP15" s="123"/>
      <c r="AQ15" s="147"/>
    </row>
    <row r="16" spans="1:45" ht="19.5" customHeight="1">
      <c r="A16" s="7">
        <v>1</v>
      </c>
      <c r="B16" s="114" t="s">
        <v>53</v>
      </c>
      <c r="C16" s="115"/>
      <c r="D16" s="115"/>
      <c r="E16" s="116"/>
      <c r="F16" s="8"/>
      <c r="G16" s="9"/>
      <c r="H16" s="9"/>
      <c r="I16" s="10"/>
      <c r="J16" s="11"/>
      <c r="K16" s="12" t="str">
        <f t="shared" ref="K16:K30" si="0">IF(F16=0,"",ROUND(AVERAGE(F16:J16),0))</f>
        <v/>
      </c>
      <c r="L16" s="13"/>
      <c r="M16" s="8"/>
      <c r="N16" s="9"/>
      <c r="O16" s="9"/>
      <c r="P16" s="10"/>
      <c r="Q16" s="11"/>
      <c r="R16" s="12" t="str">
        <f t="shared" ref="R16:R30" si="1">IF(M16=0,"",ROUND(AVERAGE(M16:Q16),0))</f>
        <v/>
      </c>
      <c r="S16" s="13"/>
      <c r="T16" s="8"/>
      <c r="U16" s="9"/>
      <c r="V16" s="9"/>
      <c r="W16" s="10"/>
      <c r="X16" s="11"/>
      <c r="Y16" s="12" t="str">
        <f t="shared" ref="Y16:Y30" si="2">IF(T16=0,"",ROUND(AVERAGE(T16:X16),0))</f>
        <v/>
      </c>
      <c r="Z16" s="14"/>
      <c r="AA16" s="15"/>
      <c r="AB16" s="16"/>
      <c r="AC16" s="16"/>
      <c r="AD16" s="17"/>
      <c r="AE16" s="18"/>
      <c r="AF16" s="12" t="str">
        <f t="shared" ref="AF16:AF31" si="3">IF(AA16=0,"",ROUND(AVERAGE(AA16:AE16),0))</f>
        <v/>
      </c>
      <c r="AG16" s="19"/>
      <c r="AH16" s="8" t="str">
        <f t="shared" ref="AH16:AH31" si="4">IF(K16=0,"",K16)</f>
        <v/>
      </c>
      <c r="AI16" s="9" t="str">
        <f t="shared" ref="AI16:AI31" si="5">IF(R16=0,"",R16)</f>
        <v/>
      </c>
      <c r="AJ16" s="9" t="str">
        <f t="shared" ref="AJ16:AJ31" si="6">IF(Y16=0,"",Y16)</f>
        <v/>
      </c>
      <c r="AK16" s="9" t="str">
        <f t="shared" ref="AK16:AK31" si="7">IF(AF16=0,"",AF16)</f>
        <v/>
      </c>
      <c r="AL16" s="12" t="str">
        <f t="shared" ref="AL16:AL31" si="8">IF(F16=0,"",ROUND(AVERAGE(AH16:AK16),0))</f>
        <v/>
      </c>
      <c r="AM16" s="8" t="str">
        <f t="shared" ref="AM16:AP16" si="9">IF(AH16=0,"",IF(AH16&lt;=10,"C",IF(AH16&lt;=13,"B",IF(AH16&lt;=17,"A",IF(AH16&lt;=20,"AD","")))))</f>
        <v/>
      </c>
      <c r="AN16" s="9" t="str">
        <f t="shared" si="9"/>
        <v/>
      </c>
      <c r="AO16" s="9" t="str">
        <f t="shared" si="9"/>
        <v/>
      </c>
      <c r="AP16" s="9" t="str">
        <f t="shared" si="9"/>
        <v/>
      </c>
      <c r="AQ16" s="20" t="str">
        <f t="shared" ref="AQ16:AQ31" si="10">IF(AL16=0,"",IF(AL16&lt;0,"Error",IF(AL16&lt;=10,"C",IF(AL16&lt;=13,"B",IF(AL16&lt;=17,"A",IF(AL16&lt;=20,"AD",""))))))</f>
        <v/>
      </c>
      <c r="AS16" s="21"/>
    </row>
    <row r="17" spans="1:43" ht="19.5" customHeight="1">
      <c r="A17" s="22">
        <v>2</v>
      </c>
      <c r="B17" s="96" t="s">
        <v>54</v>
      </c>
      <c r="C17" s="97" t="s">
        <v>54</v>
      </c>
      <c r="D17" s="97" t="s">
        <v>54</v>
      </c>
      <c r="E17" s="98" t="s">
        <v>54</v>
      </c>
      <c r="F17" s="23"/>
      <c r="G17" s="24"/>
      <c r="H17" s="24"/>
      <c r="I17" s="25"/>
      <c r="J17" s="26"/>
      <c r="K17" s="12" t="str">
        <f t="shared" si="0"/>
        <v/>
      </c>
      <c r="L17" s="14"/>
      <c r="M17" s="23"/>
      <c r="N17" s="24"/>
      <c r="O17" s="24"/>
      <c r="P17" s="25"/>
      <c r="Q17" s="26"/>
      <c r="R17" s="12" t="str">
        <f t="shared" si="1"/>
        <v/>
      </c>
      <c r="S17" s="14"/>
      <c r="T17" s="23"/>
      <c r="U17" s="24"/>
      <c r="V17" s="24"/>
      <c r="W17" s="25"/>
      <c r="X17" s="26"/>
      <c r="Y17" s="12" t="str">
        <f t="shared" si="2"/>
        <v/>
      </c>
      <c r="Z17" s="14"/>
      <c r="AA17" s="27"/>
      <c r="AB17" s="28"/>
      <c r="AC17" s="28"/>
      <c r="AD17" s="29"/>
      <c r="AE17" s="30"/>
      <c r="AF17" s="12" t="str">
        <f t="shared" si="3"/>
        <v/>
      </c>
      <c r="AG17" s="13"/>
      <c r="AH17" s="23" t="str">
        <f t="shared" si="4"/>
        <v/>
      </c>
      <c r="AI17" s="24" t="str">
        <f t="shared" si="5"/>
        <v/>
      </c>
      <c r="AJ17" s="24" t="str">
        <f t="shared" si="6"/>
        <v/>
      </c>
      <c r="AK17" s="24" t="str">
        <f t="shared" si="7"/>
        <v/>
      </c>
      <c r="AL17" s="31" t="str">
        <f t="shared" si="8"/>
        <v/>
      </c>
      <c r="AM17" s="8" t="str">
        <f t="shared" ref="AM17:AP17" si="11">IF(AH17=0,"",IF(AH17&lt;=10,"C",IF(AH17&lt;=13,"B",IF(AH17&lt;=17,"A",IF(AH17&lt;=20,"AD","")))))</f>
        <v/>
      </c>
      <c r="AN17" s="9" t="str">
        <f t="shared" si="11"/>
        <v/>
      </c>
      <c r="AO17" s="9" t="str">
        <f t="shared" si="11"/>
        <v/>
      </c>
      <c r="AP17" s="9" t="str">
        <f t="shared" si="11"/>
        <v/>
      </c>
      <c r="AQ17" s="20" t="str">
        <f t="shared" si="10"/>
        <v/>
      </c>
    </row>
    <row r="18" spans="1:43" ht="19.5" customHeight="1">
      <c r="A18" s="22">
        <v>3</v>
      </c>
      <c r="B18" s="93" t="s">
        <v>55</v>
      </c>
      <c r="C18" s="94"/>
      <c r="D18" s="94"/>
      <c r="E18" s="95"/>
      <c r="F18" s="23"/>
      <c r="G18" s="24"/>
      <c r="H18" s="24"/>
      <c r="I18" s="25"/>
      <c r="J18" s="26"/>
      <c r="K18" s="12" t="str">
        <f t="shared" si="0"/>
        <v/>
      </c>
      <c r="L18" s="14"/>
      <c r="M18" s="23"/>
      <c r="N18" s="24"/>
      <c r="O18" s="24"/>
      <c r="P18" s="25"/>
      <c r="Q18" s="26"/>
      <c r="R18" s="12" t="str">
        <f t="shared" si="1"/>
        <v/>
      </c>
      <c r="S18" s="13"/>
      <c r="T18" s="23"/>
      <c r="U18" s="24"/>
      <c r="V18" s="24"/>
      <c r="W18" s="25"/>
      <c r="X18" s="26"/>
      <c r="Y18" s="12" t="str">
        <f t="shared" si="2"/>
        <v/>
      </c>
      <c r="Z18" s="13"/>
      <c r="AA18" s="23"/>
      <c r="AB18" s="24"/>
      <c r="AC18" s="24"/>
      <c r="AD18" s="25"/>
      <c r="AE18" s="26"/>
      <c r="AF18" s="12" t="str">
        <f t="shared" si="3"/>
        <v/>
      </c>
      <c r="AG18" s="13"/>
      <c r="AH18" s="23" t="str">
        <f t="shared" si="4"/>
        <v/>
      </c>
      <c r="AI18" s="24" t="str">
        <f t="shared" si="5"/>
        <v/>
      </c>
      <c r="AJ18" s="24" t="str">
        <f t="shared" si="6"/>
        <v/>
      </c>
      <c r="AK18" s="24" t="str">
        <f t="shared" si="7"/>
        <v/>
      </c>
      <c r="AL18" s="31" t="str">
        <f t="shared" si="8"/>
        <v/>
      </c>
      <c r="AM18" s="8" t="str">
        <f t="shared" ref="AM18:AP18" si="12">IF(AH18=0,"",IF(AH18&lt;=10,"C",IF(AH18&lt;=13,"B",IF(AH18&lt;=17,"A",IF(AH18&lt;=20,"AD","")))))</f>
        <v/>
      </c>
      <c r="AN18" s="9" t="str">
        <f t="shared" si="12"/>
        <v/>
      </c>
      <c r="AO18" s="9" t="str">
        <f t="shared" si="12"/>
        <v/>
      </c>
      <c r="AP18" s="9" t="str">
        <f t="shared" si="12"/>
        <v/>
      </c>
      <c r="AQ18" s="20" t="str">
        <f t="shared" si="10"/>
        <v/>
      </c>
    </row>
    <row r="19" spans="1:43" ht="19.5" customHeight="1">
      <c r="A19" s="22">
        <v>4</v>
      </c>
      <c r="B19" s="93" t="s">
        <v>56</v>
      </c>
      <c r="C19" s="94" t="s">
        <v>56</v>
      </c>
      <c r="D19" s="94" t="s">
        <v>56</v>
      </c>
      <c r="E19" s="95" t="s">
        <v>56</v>
      </c>
      <c r="F19" s="23"/>
      <c r="G19" s="24"/>
      <c r="H19" s="24"/>
      <c r="I19" s="25"/>
      <c r="J19" s="26"/>
      <c r="K19" s="12" t="str">
        <f t="shared" si="0"/>
        <v/>
      </c>
      <c r="L19" s="13"/>
      <c r="M19" s="23"/>
      <c r="N19" s="24"/>
      <c r="O19" s="24"/>
      <c r="P19" s="25"/>
      <c r="Q19" s="26"/>
      <c r="R19" s="12" t="str">
        <f t="shared" si="1"/>
        <v/>
      </c>
      <c r="S19" s="13"/>
      <c r="T19" s="23"/>
      <c r="U19" s="24"/>
      <c r="V19" s="24"/>
      <c r="W19" s="25"/>
      <c r="X19" s="26"/>
      <c r="Y19" s="12" t="str">
        <f t="shared" si="2"/>
        <v/>
      </c>
      <c r="Z19" s="13"/>
      <c r="AA19" s="23"/>
      <c r="AB19" s="24"/>
      <c r="AC19" s="24"/>
      <c r="AD19" s="25"/>
      <c r="AE19" s="26"/>
      <c r="AF19" s="12" t="str">
        <f t="shared" si="3"/>
        <v/>
      </c>
      <c r="AG19" s="13"/>
      <c r="AH19" s="23" t="str">
        <f t="shared" si="4"/>
        <v/>
      </c>
      <c r="AI19" s="24" t="str">
        <f t="shared" si="5"/>
        <v/>
      </c>
      <c r="AJ19" s="24" t="str">
        <f t="shared" si="6"/>
        <v/>
      </c>
      <c r="AK19" s="24" t="str">
        <f t="shared" si="7"/>
        <v/>
      </c>
      <c r="AL19" s="31" t="str">
        <f t="shared" si="8"/>
        <v/>
      </c>
      <c r="AM19" s="8" t="str">
        <f t="shared" ref="AM19:AP19" si="13">IF(AH19=0,"",IF(AH19&lt;=10,"C",IF(AH19&lt;=13,"B",IF(AH19&lt;=17,"A",IF(AH19&lt;=20,"AD","")))))</f>
        <v/>
      </c>
      <c r="AN19" s="9" t="str">
        <f t="shared" si="13"/>
        <v/>
      </c>
      <c r="AO19" s="9" t="str">
        <f t="shared" si="13"/>
        <v/>
      </c>
      <c r="AP19" s="9" t="str">
        <f t="shared" si="13"/>
        <v/>
      </c>
      <c r="AQ19" s="20" t="str">
        <f t="shared" si="10"/>
        <v/>
      </c>
    </row>
    <row r="20" spans="1:43" ht="19.5" customHeight="1">
      <c r="A20" s="22">
        <v>5</v>
      </c>
      <c r="B20" s="93" t="s">
        <v>57</v>
      </c>
      <c r="C20" s="94" t="s">
        <v>57</v>
      </c>
      <c r="D20" s="94" t="s">
        <v>57</v>
      </c>
      <c r="E20" s="95" t="s">
        <v>57</v>
      </c>
      <c r="F20" s="23"/>
      <c r="G20" s="24"/>
      <c r="H20" s="24"/>
      <c r="I20" s="25"/>
      <c r="J20" s="26"/>
      <c r="K20" s="12" t="str">
        <f t="shared" si="0"/>
        <v/>
      </c>
      <c r="L20" s="13"/>
      <c r="M20" s="23"/>
      <c r="N20" s="24"/>
      <c r="O20" s="24"/>
      <c r="P20" s="25"/>
      <c r="Q20" s="26"/>
      <c r="R20" s="12" t="str">
        <f t="shared" si="1"/>
        <v/>
      </c>
      <c r="S20" s="13"/>
      <c r="T20" s="23"/>
      <c r="U20" s="24"/>
      <c r="V20" s="24"/>
      <c r="W20" s="25"/>
      <c r="X20" s="26"/>
      <c r="Y20" s="12" t="str">
        <f t="shared" si="2"/>
        <v/>
      </c>
      <c r="Z20" s="13"/>
      <c r="AA20" s="23"/>
      <c r="AB20" s="24"/>
      <c r="AC20" s="24"/>
      <c r="AD20" s="25"/>
      <c r="AE20" s="26"/>
      <c r="AF20" s="12" t="str">
        <f t="shared" si="3"/>
        <v/>
      </c>
      <c r="AG20" s="13"/>
      <c r="AH20" s="23" t="str">
        <f t="shared" si="4"/>
        <v/>
      </c>
      <c r="AI20" s="24" t="str">
        <f t="shared" si="5"/>
        <v/>
      </c>
      <c r="AJ20" s="24" t="str">
        <f t="shared" si="6"/>
        <v/>
      </c>
      <c r="AK20" s="24" t="str">
        <f t="shared" si="7"/>
        <v/>
      </c>
      <c r="AL20" s="31" t="str">
        <f t="shared" si="8"/>
        <v/>
      </c>
      <c r="AM20" s="8" t="str">
        <f t="shared" ref="AM20:AP20" si="14">IF(AH20=0,"",IF(AH20&lt;=10,"C",IF(AH20&lt;=13,"B",IF(AH20&lt;=17,"A",IF(AH20&lt;=20,"AD","")))))</f>
        <v/>
      </c>
      <c r="AN20" s="9" t="str">
        <f t="shared" si="14"/>
        <v/>
      </c>
      <c r="AO20" s="9" t="str">
        <f t="shared" si="14"/>
        <v/>
      </c>
      <c r="AP20" s="9" t="str">
        <f t="shared" si="14"/>
        <v/>
      </c>
      <c r="AQ20" s="20" t="str">
        <f t="shared" si="10"/>
        <v/>
      </c>
    </row>
    <row r="21" spans="1:43" ht="19.5" customHeight="1">
      <c r="A21" s="22">
        <v>6</v>
      </c>
      <c r="B21" s="93" t="s">
        <v>58</v>
      </c>
      <c r="C21" s="94" t="s">
        <v>58</v>
      </c>
      <c r="D21" s="94" t="s">
        <v>58</v>
      </c>
      <c r="E21" s="95" t="s">
        <v>58</v>
      </c>
      <c r="F21" s="23"/>
      <c r="G21" s="24"/>
      <c r="H21" s="24"/>
      <c r="I21" s="25"/>
      <c r="J21" s="26"/>
      <c r="K21" s="12" t="str">
        <f t="shared" si="0"/>
        <v/>
      </c>
      <c r="L21" s="13"/>
      <c r="M21" s="23"/>
      <c r="N21" s="24"/>
      <c r="O21" s="24"/>
      <c r="P21" s="25"/>
      <c r="Q21" s="26"/>
      <c r="R21" s="12" t="str">
        <f t="shared" si="1"/>
        <v/>
      </c>
      <c r="S21" s="13"/>
      <c r="T21" s="23"/>
      <c r="U21" s="24"/>
      <c r="V21" s="24"/>
      <c r="W21" s="25"/>
      <c r="X21" s="26"/>
      <c r="Y21" s="12" t="str">
        <f t="shared" si="2"/>
        <v/>
      </c>
      <c r="Z21" s="13"/>
      <c r="AA21" s="23"/>
      <c r="AB21" s="24"/>
      <c r="AC21" s="24"/>
      <c r="AD21" s="25"/>
      <c r="AE21" s="26"/>
      <c r="AF21" s="12" t="str">
        <f t="shared" si="3"/>
        <v/>
      </c>
      <c r="AG21" s="13"/>
      <c r="AH21" s="23" t="str">
        <f t="shared" si="4"/>
        <v/>
      </c>
      <c r="AI21" s="24" t="str">
        <f t="shared" si="5"/>
        <v/>
      </c>
      <c r="AJ21" s="24" t="str">
        <f t="shared" si="6"/>
        <v/>
      </c>
      <c r="AK21" s="24" t="str">
        <f t="shared" si="7"/>
        <v/>
      </c>
      <c r="AL21" s="31" t="str">
        <f t="shared" si="8"/>
        <v/>
      </c>
      <c r="AM21" s="8" t="str">
        <f t="shared" ref="AM21:AP21" si="15">IF(AH21=0,"",IF(AH21&lt;=10,"C",IF(AH21&lt;=13,"B",IF(AH21&lt;=17,"A",IF(AH21&lt;=20,"AD","")))))</f>
        <v/>
      </c>
      <c r="AN21" s="9" t="str">
        <f t="shared" si="15"/>
        <v/>
      </c>
      <c r="AO21" s="9" t="str">
        <f t="shared" si="15"/>
        <v/>
      </c>
      <c r="AP21" s="9" t="str">
        <f t="shared" si="15"/>
        <v/>
      </c>
      <c r="AQ21" s="20" t="str">
        <f t="shared" si="10"/>
        <v/>
      </c>
    </row>
    <row r="22" spans="1:43" ht="19.5" customHeight="1">
      <c r="A22" s="22">
        <v>7</v>
      </c>
      <c r="B22" s="93" t="s">
        <v>59</v>
      </c>
      <c r="C22" s="94" t="s">
        <v>59</v>
      </c>
      <c r="D22" s="94" t="s">
        <v>59</v>
      </c>
      <c r="E22" s="95" t="s">
        <v>59</v>
      </c>
      <c r="F22" s="23"/>
      <c r="G22" s="24"/>
      <c r="H22" s="24"/>
      <c r="I22" s="25"/>
      <c r="J22" s="26"/>
      <c r="K22" s="12" t="str">
        <f t="shared" si="0"/>
        <v/>
      </c>
      <c r="L22" s="13"/>
      <c r="M22" s="23"/>
      <c r="N22" s="24"/>
      <c r="O22" s="24"/>
      <c r="P22" s="25"/>
      <c r="Q22" s="26"/>
      <c r="R22" s="12" t="str">
        <f t="shared" si="1"/>
        <v/>
      </c>
      <c r="S22" s="13"/>
      <c r="T22" s="23"/>
      <c r="U22" s="24"/>
      <c r="V22" s="24"/>
      <c r="W22" s="25"/>
      <c r="X22" s="26"/>
      <c r="Y22" s="12" t="str">
        <f t="shared" si="2"/>
        <v/>
      </c>
      <c r="Z22" s="13"/>
      <c r="AA22" s="23"/>
      <c r="AB22" s="24"/>
      <c r="AC22" s="24"/>
      <c r="AD22" s="25"/>
      <c r="AE22" s="26"/>
      <c r="AF22" s="12" t="str">
        <f t="shared" si="3"/>
        <v/>
      </c>
      <c r="AG22" s="13"/>
      <c r="AH22" s="23" t="str">
        <f t="shared" si="4"/>
        <v/>
      </c>
      <c r="AI22" s="24" t="str">
        <f t="shared" si="5"/>
        <v/>
      </c>
      <c r="AJ22" s="24" t="str">
        <f t="shared" si="6"/>
        <v/>
      </c>
      <c r="AK22" s="24" t="str">
        <f t="shared" si="7"/>
        <v/>
      </c>
      <c r="AL22" s="31" t="str">
        <f t="shared" si="8"/>
        <v/>
      </c>
      <c r="AM22" s="8" t="str">
        <f t="shared" ref="AM22:AP22" si="16">IF(AH22=0,"",IF(AH22&lt;=10,"C",IF(AH22&lt;=13,"B",IF(AH22&lt;=17,"A",IF(AH22&lt;=20,"AD","")))))</f>
        <v/>
      </c>
      <c r="AN22" s="9" t="str">
        <f t="shared" si="16"/>
        <v/>
      </c>
      <c r="AO22" s="9" t="str">
        <f t="shared" si="16"/>
        <v/>
      </c>
      <c r="AP22" s="9" t="str">
        <f t="shared" si="16"/>
        <v/>
      </c>
      <c r="AQ22" s="20" t="str">
        <f t="shared" si="10"/>
        <v/>
      </c>
    </row>
    <row r="23" spans="1:43" ht="19.5" customHeight="1">
      <c r="A23" s="22">
        <v>8</v>
      </c>
      <c r="B23" s="93" t="s">
        <v>60</v>
      </c>
      <c r="C23" s="94" t="s">
        <v>60</v>
      </c>
      <c r="D23" s="94" t="s">
        <v>60</v>
      </c>
      <c r="E23" s="95" t="s">
        <v>60</v>
      </c>
      <c r="F23" s="23"/>
      <c r="G23" s="24"/>
      <c r="H23" s="24"/>
      <c r="I23" s="25"/>
      <c r="J23" s="26"/>
      <c r="K23" s="12" t="str">
        <f t="shared" si="0"/>
        <v/>
      </c>
      <c r="L23" s="13"/>
      <c r="M23" s="23"/>
      <c r="N23" s="24"/>
      <c r="O23" s="24"/>
      <c r="P23" s="25"/>
      <c r="Q23" s="26"/>
      <c r="R23" s="12" t="str">
        <f t="shared" si="1"/>
        <v/>
      </c>
      <c r="S23" s="13"/>
      <c r="T23" s="23"/>
      <c r="U23" s="24"/>
      <c r="V23" s="24"/>
      <c r="W23" s="25"/>
      <c r="X23" s="26"/>
      <c r="Y23" s="12" t="str">
        <f t="shared" si="2"/>
        <v/>
      </c>
      <c r="Z23" s="13"/>
      <c r="AA23" s="23"/>
      <c r="AB23" s="24"/>
      <c r="AC23" s="24"/>
      <c r="AD23" s="25"/>
      <c r="AE23" s="26"/>
      <c r="AF23" s="12" t="str">
        <f t="shared" si="3"/>
        <v/>
      </c>
      <c r="AG23" s="13"/>
      <c r="AH23" s="23" t="str">
        <f t="shared" si="4"/>
        <v/>
      </c>
      <c r="AI23" s="24" t="str">
        <f t="shared" si="5"/>
        <v/>
      </c>
      <c r="AJ23" s="24" t="str">
        <f t="shared" si="6"/>
        <v/>
      </c>
      <c r="AK23" s="24" t="str">
        <f t="shared" si="7"/>
        <v/>
      </c>
      <c r="AL23" s="31" t="str">
        <f t="shared" si="8"/>
        <v/>
      </c>
      <c r="AM23" s="8" t="str">
        <f t="shared" ref="AM23:AP23" si="17">IF(AH23=0,"",IF(AH23&lt;=10,"C",IF(AH23&lt;=13,"B",IF(AH23&lt;=17,"A",IF(AH23&lt;=20,"AD","")))))</f>
        <v/>
      </c>
      <c r="AN23" s="9" t="str">
        <f t="shared" si="17"/>
        <v/>
      </c>
      <c r="AO23" s="9" t="str">
        <f t="shared" si="17"/>
        <v/>
      </c>
      <c r="AP23" s="9" t="str">
        <f t="shared" si="17"/>
        <v/>
      </c>
      <c r="AQ23" s="20" t="str">
        <f t="shared" si="10"/>
        <v/>
      </c>
    </row>
    <row r="24" spans="1:43" ht="19.5" customHeight="1">
      <c r="A24" s="22">
        <v>9</v>
      </c>
      <c r="B24" s="93" t="s">
        <v>61</v>
      </c>
      <c r="C24" s="94" t="s">
        <v>61</v>
      </c>
      <c r="D24" s="94" t="s">
        <v>61</v>
      </c>
      <c r="E24" s="95" t="s">
        <v>61</v>
      </c>
      <c r="F24" s="23"/>
      <c r="G24" s="24"/>
      <c r="H24" s="24"/>
      <c r="I24" s="25"/>
      <c r="J24" s="26"/>
      <c r="K24" s="12" t="str">
        <f t="shared" si="0"/>
        <v/>
      </c>
      <c r="L24" s="13"/>
      <c r="M24" s="23"/>
      <c r="N24" s="24"/>
      <c r="O24" s="24"/>
      <c r="P24" s="25"/>
      <c r="Q24" s="26"/>
      <c r="R24" s="12" t="str">
        <f t="shared" si="1"/>
        <v/>
      </c>
      <c r="S24" s="13"/>
      <c r="T24" s="23"/>
      <c r="U24" s="24"/>
      <c r="V24" s="24"/>
      <c r="W24" s="25"/>
      <c r="X24" s="26"/>
      <c r="Y24" s="12" t="str">
        <f t="shared" si="2"/>
        <v/>
      </c>
      <c r="Z24" s="13"/>
      <c r="AA24" s="23"/>
      <c r="AB24" s="24"/>
      <c r="AC24" s="24"/>
      <c r="AD24" s="25"/>
      <c r="AE24" s="26"/>
      <c r="AF24" s="12" t="str">
        <f t="shared" si="3"/>
        <v/>
      </c>
      <c r="AG24" s="13"/>
      <c r="AH24" s="23" t="str">
        <f t="shared" si="4"/>
        <v/>
      </c>
      <c r="AI24" s="24" t="str">
        <f t="shared" si="5"/>
        <v/>
      </c>
      <c r="AJ24" s="24" t="str">
        <f t="shared" si="6"/>
        <v/>
      </c>
      <c r="AK24" s="24" t="str">
        <f t="shared" si="7"/>
        <v/>
      </c>
      <c r="AL24" s="31" t="str">
        <f t="shared" si="8"/>
        <v/>
      </c>
      <c r="AM24" s="8" t="str">
        <f t="shared" ref="AM24:AP24" si="18">IF(AH24=0,"",IF(AH24&lt;=10,"C",IF(AH24&lt;=13,"B",IF(AH24&lt;=17,"A",IF(AH24&lt;=20,"AD","")))))</f>
        <v/>
      </c>
      <c r="AN24" s="9" t="str">
        <f t="shared" si="18"/>
        <v/>
      </c>
      <c r="AO24" s="9" t="str">
        <f t="shared" si="18"/>
        <v/>
      </c>
      <c r="AP24" s="9" t="str">
        <f t="shared" si="18"/>
        <v/>
      </c>
      <c r="AQ24" s="20" t="str">
        <f t="shared" si="10"/>
        <v/>
      </c>
    </row>
    <row r="25" spans="1:43" ht="19.5" customHeight="1">
      <c r="A25" s="22">
        <v>10</v>
      </c>
      <c r="B25" s="93" t="s">
        <v>62</v>
      </c>
      <c r="C25" s="94" t="s">
        <v>62</v>
      </c>
      <c r="D25" s="94" t="s">
        <v>62</v>
      </c>
      <c r="E25" s="95" t="s">
        <v>62</v>
      </c>
      <c r="F25" s="23"/>
      <c r="G25" s="24"/>
      <c r="H25" s="24"/>
      <c r="I25" s="25"/>
      <c r="J25" s="26"/>
      <c r="K25" s="12" t="str">
        <f t="shared" si="0"/>
        <v/>
      </c>
      <c r="L25" s="13"/>
      <c r="M25" s="23"/>
      <c r="N25" s="24"/>
      <c r="O25" s="24"/>
      <c r="P25" s="25"/>
      <c r="Q25" s="26"/>
      <c r="R25" s="12" t="str">
        <f t="shared" si="1"/>
        <v/>
      </c>
      <c r="S25" s="14"/>
      <c r="T25" s="23"/>
      <c r="U25" s="24"/>
      <c r="V25" s="24"/>
      <c r="W25" s="25"/>
      <c r="X25" s="26"/>
      <c r="Y25" s="12" t="str">
        <f t="shared" si="2"/>
        <v/>
      </c>
      <c r="Z25" s="13"/>
      <c r="AA25" s="23"/>
      <c r="AB25" s="24"/>
      <c r="AC25" s="24"/>
      <c r="AD25" s="25"/>
      <c r="AE25" s="26"/>
      <c r="AF25" s="12" t="str">
        <f t="shared" si="3"/>
        <v/>
      </c>
      <c r="AG25" s="14"/>
      <c r="AH25" s="23" t="str">
        <f t="shared" si="4"/>
        <v/>
      </c>
      <c r="AI25" s="24" t="str">
        <f t="shared" si="5"/>
        <v/>
      </c>
      <c r="AJ25" s="24" t="str">
        <f t="shared" si="6"/>
        <v/>
      </c>
      <c r="AK25" s="24" t="str">
        <f t="shared" si="7"/>
        <v/>
      </c>
      <c r="AL25" s="31" t="str">
        <f t="shared" si="8"/>
        <v/>
      </c>
      <c r="AM25" s="8" t="str">
        <f t="shared" ref="AM25:AP25" si="19">IF(AH25=0,"",IF(AH25&lt;=10,"C",IF(AH25&lt;=13,"B",IF(AH25&lt;=17,"A",IF(AH25&lt;=20,"AD","")))))</f>
        <v/>
      </c>
      <c r="AN25" s="9" t="str">
        <f t="shared" si="19"/>
        <v/>
      </c>
      <c r="AO25" s="9" t="str">
        <f t="shared" si="19"/>
        <v/>
      </c>
      <c r="AP25" s="9" t="str">
        <f t="shared" si="19"/>
        <v/>
      </c>
      <c r="AQ25" s="20" t="str">
        <f t="shared" si="10"/>
        <v/>
      </c>
    </row>
    <row r="26" spans="1:43" ht="19.5" customHeight="1">
      <c r="A26" s="22">
        <v>11</v>
      </c>
      <c r="B26" s="93" t="s">
        <v>63</v>
      </c>
      <c r="C26" s="94" t="s">
        <v>63</v>
      </c>
      <c r="D26" s="94" t="s">
        <v>63</v>
      </c>
      <c r="E26" s="95" t="s">
        <v>63</v>
      </c>
      <c r="F26" s="23"/>
      <c r="G26" s="24"/>
      <c r="H26" s="24"/>
      <c r="I26" s="25"/>
      <c r="J26" s="26"/>
      <c r="K26" s="12" t="str">
        <f t="shared" si="0"/>
        <v/>
      </c>
      <c r="L26" s="13"/>
      <c r="M26" s="23"/>
      <c r="N26" s="24"/>
      <c r="O26" s="24"/>
      <c r="P26" s="25"/>
      <c r="Q26" s="26"/>
      <c r="R26" s="12" t="str">
        <f t="shared" si="1"/>
        <v/>
      </c>
      <c r="S26" s="13"/>
      <c r="T26" s="23"/>
      <c r="U26" s="24"/>
      <c r="V26" s="24"/>
      <c r="W26" s="25"/>
      <c r="X26" s="26"/>
      <c r="Y26" s="12" t="str">
        <f t="shared" si="2"/>
        <v/>
      </c>
      <c r="Z26" s="13"/>
      <c r="AA26" s="23"/>
      <c r="AB26" s="24"/>
      <c r="AC26" s="24"/>
      <c r="AD26" s="25"/>
      <c r="AE26" s="26"/>
      <c r="AF26" s="12" t="str">
        <f t="shared" si="3"/>
        <v/>
      </c>
      <c r="AG26" s="13"/>
      <c r="AH26" s="23" t="str">
        <f t="shared" si="4"/>
        <v/>
      </c>
      <c r="AI26" s="24" t="str">
        <f t="shared" si="5"/>
        <v/>
      </c>
      <c r="AJ26" s="24" t="str">
        <f t="shared" si="6"/>
        <v/>
      </c>
      <c r="AK26" s="24" t="str">
        <f t="shared" si="7"/>
        <v/>
      </c>
      <c r="AL26" s="31" t="str">
        <f t="shared" si="8"/>
        <v/>
      </c>
      <c r="AM26" s="8" t="str">
        <f t="shared" ref="AM26:AP26" si="20">IF(AH26=0,"",IF(AH26&lt;=10,"C",IF(AH26&lt;=13,"B",IF(AH26&lt;=17,"A",IF(AH26&lt;=20,"AD","")))))</f>
        <v/>
      </c>
      <c r="AN26" s="9" t="str">
        <f t="shared" si="20"/>
        <v/>
      </c>
      <c r="AO26" s="9" t="str">
        <f t="shared" si="20"/>
        <v/>
      </c>
      <c r="AP26" s="9" t="str">
        <f t="shared" si="20"/>
        <v/>
      </c>
      <c r="AQ26" s="20" t="str">
        <f t="shared" si="10"/>
        <v/>
      </c>
    </row>
    <row r="27" spans="1:43" ht="19.5" customHeight="1">
      <c r="A27" s="22">
        <v>12</v>
      </c>
      <c r="B27" s="93" t="s">
        <v>64</v>
      </c>
      <c r="C27" s="94" t="s">
        <v>64</v>
      </c>
      <c r="D27" s="94" t="s">
        <v>64</v>
      </c>
      <c r="E27" s="95" t="s">
        <v>64</v>
      </c>
      <c r="F27" s="23"/>
      <c r="G27" s="24"/>
      <c r="H27" s="24"/>
      <c r="I27" s="25"/>
      <c r="J27" s="26"/>
      <c r="K27" s="12" t="str">
        <f t="shared" si="0"/>
        <v/>
      </c>
      <c r="L27" s="13"/>
      <c r="M27" s="23"/>
      <c r="N27" s="24"/>
      <c r="O27" s="24"/>
      <c r="P27" s="25"/>
      <c r="Q27" s="26"/>
      <c r="R27" s="12" t="str">
        <f t="shared" si="1"/>
        <v/>
      </c>
      <c r="S27" s="13"/>
      <c r="T27" s="23"/>
      <c r="U27" s="24"/>
      <c r="V27" s="24"/>
      <c r="W27" s="25"/>
      <c r="X27" s="26"/>
      <c r="Y27" s="12" t="str">
        <f t="shared" si="2"/>
        <v/>
      </c>
      <c r="Z27" s="13"/>
      <c r="AA27" s="23"/>
      <c r="AB27" s="24"/>
      <c r="AC27" s="24"/>
      <c r="AD27" s="25"/>
      <c r="AE27" s="26"/>
      <c r="AF27" s="12" t="str">
        <f t="shared" si="3"/>
        <v/>
      </c>
      <c r="AG27" s="13"/>
      <c r="AH27" s="23" t="str">
        <f t="shared" si="4"/>
        <v/>
      </c>
      <c r="AI27" s="24" t="str">
        <f t="shared" si="5"/>
        <v/>
      </c>
      <c r="AJ27" s="24" t="str">
        <f t="shared" si="6"/>
        <v/>
      </c>
      <c r="AK27" s="24" t="str">
        <f t="shared" si="7"/>
        <v/>
      </c>
      <c r="AL27" s="31" t="str">
        <f t="shared" si="8"/>
        <v/>
      </c>
      <c r="AM27" s="8" t="str">
        <f t="shared" ref="AM27:AP27" si="21">IF(AH27=0,"",IF(AH27&lt;=10,"C",IF(AH27&lt;=13,"B",IF(AH27&lt;=17,"A",IF(AH27&lt;=20,"AD","")))))</f>
        <v/>
      </c>
      <c r="AN27" s="9" t="str">
        <f t="shared" si="21"/>
        <v/>
      </c>
      <c r="AO27" s="9" t="str">
        <f t="shared" si="21"/>
        <v/>
      </c>
      <c r="AP27" s="9" t="str">
        <f t="shared" si="21"/>
        <v/>
      </c>
      <c r="AQ27" s="20" t="str">
        <f t="shared" si="10"/>
        <v/>
      </c>
    </row>
    <row r="28" spans="1:43" ht="19.5" customHeight="1">
      <c r="A28" s="22">
        <v>13</v>
      </c>
      <c r="B28" s="93" t="s">
        <v>105</v>
      </c>
      <c r="C28" s="94"/>
      <c r="D28" s="94"/>
      <c r="E28" s="95"/>
      <c r="F28" s="23"/>
      <c r="G28" s="24"/>
      <c r="H28" s="24"/>
      <c r="I28" s="25"/>
      <c r="J28" s="26"/>
      <c r="K28" s="12" t="str">
        <f t="shared" si="0"/>
        <v/>
      </c>
      <c r="L28" s="13"/>
      <c r="M28" s="23"/>
      <c r="N28" s="24"/>
      <c r="O28" s="24"/>
      <c r="P28" s="25"/>
      <c r="Q28" s="26"/>
      <c r="R28" s="12" t="str">
        <f t="shared" si="1"/>
        <v/>
      </c>
      <c r="S28" s="13"/>
      <c r="T28" s="23"/>
      <c r="U28" s="24"/>
      <c r="V28" s="24"/>
      <c r="W28" s="25"/>
      <c r="X28" s="26"/>
      <c r="Y28" s="12" t="str">
        <f t="shared" si="2"/>
        <v/>
      </c>
      <c r="Z28" s="13"/>
      <c r="AA28" s="23"/>
      <c r="AB28" s="24"/>
      <c r="AC28" s="24"/>
      <c r="AD28" s="25"/>
      <c r="AE28" s="26"/>
      <c r="AF28" s="12" t="str">
        <f t="shared" si="3"/>
        <v/>
      </c>
      <c r="AG28" s="13"/>
      <c r="AH28" s="23" t="str">
        <f t="shared" si="4"/>
        <v/>
      </c>
      <c r="AI28" s="24" t="str">
        <f t="shared" si="5"/>
        <v/>
      </c>
      <c r="AJ28" s="24" t="str">
        <f t="shared" si="6"/>
        <v/>
      </c>
      <c r="AK28" s="24" t="str">
        <f t="shared" si="7"/>
        <v/>
      </c>
      <c r="AL28" s="31" t="str">
        <f t="shared" si="8"/>
        <v/>
      </c>
      <c r="AM28" s="8" t="str">
        <f t="shared" ref="AM28:AP28" si="22">IF(AH28=0,"",IF(AH28&lt;=10,"C",IF(AH28&lt;=13,"B",IF(AH28&lt;=17,"A",IF(AH28&lt;=20,"AD","")))))</f>
        <v/>
      </c>
      <c r="AN28" s="9" t="str">
        <f t="shared" si="22"/>
        <v/>
      </c>
      <c r="AO28" s="9" t="str">
        <f t="shared" si="22"/>
        <v/>
      </c>
      <c r="AP28" s="9" t="str">
        <f t="shared" si="22"/>
        <v/>
      </c>
      <c r="AQ28" s="20" t="str">
        <f t="shared" si="10"/>
        <v/>
      </c>
    </row>
    <row r="29" spans="1:43" ht="19.5" customHeight="1">
      <c r="A29" s="22">
        <v>14</v>
      </c>
      <c r="B29" s="93"/>
      <c r="C29" s="94"/>
      <c r="D29" s="94"/>
      <c r="E29" s="95"/>
      <c r="F29" s="23"/>
      <c r="G29" s="24"/>
      <c r="H29" s="24"/>
      <c r="I29" s="25"/>
      <c r="J29" s="26"/>
      <c r="K29" s="12" t="str">
        <f t="shared" si="0"/>
        <v/>
      </c>
      <c r="L29" s="14"/>
      <c r="M29" s="23"/>
      <c r="N29" s="24"/>
      <c r="O29" s="24"/>
      <c r="P29" s="25"/>
      <c r="Q29" s="26"/>
      <c r="R29" s="12" t="str">
        <f t="shared" si="1"/>
        <v/>
      </c>
      <c r="S29" s="13"/>
      <c r="T29" s="23"/>
      <c r="U29" s="24"/>
      <c r="V29" s="24"/>
      <c r="W29" s="25"/>
      <c r="X29" s="26"/>
      <c r="Y29" s="12" t="str">
        <f t="shared" si="2"/>
        <v/>
      </c>
      <c r="Z29" s="13"/>
      <c r="AA29" s="23"/>
      <c r="AB29" s="24"/>
      <c r="AC29" s="24"/>
      <c r="AD29" s="25"/>
      <c r="AE29" s="26"/>
      <c r="AF29" s="12" t="str">
        <f t="shared" si="3"/>
        <v/>
      </c>
      <c r="AG29" s="13"/>
      <c r="AH29" s="23" t="str">
        <f t="shared" si="4"/>
        <v/>
      </c>
      <c r="AI29" s="24" t="str">
        <f t="shared" si="5"/>
        <v/>
      </c>
      <c r="AJ29" s="24" t="str">
        <f t="shared" si="6"/>
        <v/>
      </c>
      <c r="AK29" s="24" t="str">
        <f t="shared" si="7"/>
        <v/>
      </c>
      <c r="AL29" s="31" t="str">
        <f t="shared" si="8"/>
        <v/>
      </c>
      <c r="AM29" s="8" t="str">
        <f t="shared" ref="AM29:AP29" si="23">IF(AH29=0,"",IF(AH29&lt;=10,"C",IF(AH29&lt;=13,"B",IF(AH29&lt;=17,"A",IF(AH29&lt;=20,"AD","")))))</f>
        <v/>
      </c>
      <c r="AN29" s="9" t="str">
        <f t="shared" si="23"/>
        <v/>
      </c>
      <c r="AO29" s="9" t="str">
        <f t="shared" si="23"/>
        <v/>
      </c>
      <c r="AP29" s="9" t="str">
        <f t="shared" si="23"/>
        <v/>
      </c>
      <c r="AQ29" s="20" t="str">
        <f t="shared" si="10"/>
        <v/>
      </c>
    </row>
    <row r="30" spans="1:43" ht="19.5" customHeight="1">
      <c r="A30" s="22">
        <v>15</v>
      </c>
      <c r="B30" s="96"/>
      <c r="C30" s="97"/>
      <c r="D30" s="97"/>
      <c r="E30" s="98"/>
      <c r="F30" s="23"/>
      <c r="G30" s="24"/>
      <c r="H30" s="24"/>
      <c r="I30" s="25"/>
      <c r="J30" s="26"/>
      <c r="K30" s="12" t="str">
        <f t="shared" si="0"/>
        <v/>
      </c>
      <c r="L30" s="13"/>
      <c r="M30" s="23"/>
      <c r="N30" s="24"/>
      <c r="O30" s="24"/>
      <c r="P30" s="25"/>
      <c r="Q30" s="26"/>
      <c r="R30" s="12" t="str">
        <f t="shared" si="1"/>
        <v/>
      </c>
      <c r="S30" s="14"/>
      <c r="T30" s="23"/>
      <c r="U30" s="24"/>
      <c r="V30" s="24"/>
      <c r="W30" s="25"/>
      <c r="X30" s="26"/>
      <c r="Y30" s="12" t="str">
        <f t="shared" si="2"/>
        <v/>
      </c>
      <c r="Z30" s="14"/>
      <c r="AA30" s="23"/>
      <c r="AB30" s="24"/>
      <c r="AC30" s="24"/>
      <c r="AD30" s="25"/>
      <c r="AE30" s="26"/>
      <c r="AF30" s="12" t="str">
        <f t="shared" si="3"/>
        <v/>
      </c>
      <c r="AG30" s="13"/>
      <c r="AH30" s="23" t="str">
        <f t="shared" si="4"/>
        <v/>
      </c>
      <c r="AI30" s="24" t="str">
        <f t="shared" si="5"/>
        <v/>
      </c>
      <c r="AJ30" s="24" t="str">
        <f t="shared" si="6"/>
        <v/>
      </c>
      <c r="AK30" s="24" t="str">
        <f t="shared" si="7"/>
        <v/>
      </c>
      <c r="AL30" s="31" t="str">
        <f t="shared" si="8"/>
        <v/>
      </c>
      <c r="AM30" s="8" t="str">
        <f t="shared" ref="AM30:AP30" si="24">IF(AH30=0,"",IF(AH30&lt;=10,"C",IF(AH30&lt;=13,"B",IF(AH30&lt;=17,"A",IF(AH30&lt;=20,"AD","")))))</f>
        <v/>
      </c>
      <c r="AN30" s="9" t="str">
        <f t="shared" si="24"/>
        <v/>
      </c>
      <c r="AO30" s="9" t="str">
        <f t="shared" si="24"/>
        <v/>
      </c>
      <c r="AP30" s="9" t="str">
        <f t="shared" si="24"/>
        <v/>
      </c>
      <c r="AQ30" s="20" t="str">
        <f t="shared" si="10"/>
        <v/>
      </c>
    </row>
    <row r="31" spans="1:43" ht="19.5" customHeight="1" thickBot="1">
      <c r="A31" s="32">
        <v>16</v>
      </c>
      <c r="B31" s="111"/>
      <c r="C31" s="112"/>
      <c r="D31" s="112"/>
      <c r="E31" s="113"/>
      <c r="F31" s="33"/>
      <c r="G31" s="34"/>
      <c r="H31" s="34"/>
      <c r="I31" s="35"/>
      <c r="J31" s="36"/>
      <c r="K31" s="37" t="str">
        <f t="shared" ref="K31" si="25">IF(F31=0,"",ROUND(AVERAGE(F31:I31),0))</f>
        <v/>
      </c>
      <c r="L31" s="38"/>
      <c r="M31" s="33"/>
      <c r="N31" s="34"/>
      <c r="O31" s="34"/>
      <c r="P31" s="35"/>
      <c r="Q31" s="36"/>
      <c r="R31" s="37" t="str">
        <f t="shared" ref="R31" si="26">IF(M31=0,"",ROUND(AVERAGE(M31:P31),0))</f>
        <v/>
      </c>
      <c r="S31" s="38"/>
      <c r="T31" s="33"/>
      <c r="U31" s="34"/>
      <c r="V31" s="34"/>
      <c r="W31" s="35"/>
      <c r="X31" s="36"/>
      <c r="Y31" s="37" t="str">
        <f t="shared" ref="Y31" si="27">IF(T31=0,"",ROUND(AVERAGE(T31:W31),0))</f>
        <v/>
      </c>
      <c r="Z31" s="38"/>
      <c r="AA31" s="33"/>
      <c r="AB31" s="34"/>
      <c r="AC31" s="34"/>
      <c r="AD31" s="35"/>
      <c r="AE31" s="36"/>
      <c r="AF31" s="12" t="str">
        <f t="shared" si="3"/>
        <v/>
      </c>
      <c r="AG31" s="38"/>
      <c r="AH31" s="33" t="str">
        <f t="shared" si="4"/>
        <v/>
      </c>
      <c r="AI31" s="34" t="str">
        <f t="shared" si="5"/>
        <v/>
      </c>
      <c r="AJ31" s="34" t="str">
        <f t="shared" si="6"/>
        <v/>
      </c>
      <c r="AK31" s="34" t="str">
        <f t="shared" si="7"/>
        <v/>
      </c>
      <c r="AL31" s="37" t="str">
        <f t="shared" si="8"/>
        <v/>
      </c>
      <c r="AM31" s="33" t="str">
        <f t="shared" ref="AM31:AP31" si="28">IF(AH31=0,"",IF(AH31&lt;=10,"C",IF(AH31&lt;=13,"B",IF(AH31&lt;=17,"A",IF(AH31&lt;=20,"AD","")))))</f>
        <v/>
      </c>
      <c r="AN31" s="34" t="str">
        <f t="shared" si="28"/>
        <v/>
      </c>
      <c r="AO31" s="34" t="str">
        <f t="shared" si="28"/>
        <v/>
      </c>
      <c r="AP31" s="34" t="str">
        <f t="shared" si="28"/>
        <v/>
      </c>
      <c r="AQ31" s="39" t="str">
        <f t="shared" si="10"/>
        <v/>
      </c>
    </row>
    <row r="32" spans="1:43" ht="15.75" customHeight="1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2"/>
    </row>
    <row r="33" spans="1:43" ht="19.5" customHeight="1">
      <c r="A33" s="40"/>
      <c r="B33" s="41"/>
      <c r="C33" s="41"/>
      <c r="D33" s="41"/>
      <c r="E33" s="43" t="s">
        <v>24</v>
      </c>
      <c r="F33" s="91">
        <f>SUM(AL16:AL31)</f>
        <v>0</v>
      </c>
      <c r="G33" s="92"/>
      <c r="H33" s="41"/>
      <c r="I33" s="41"/>
      <c r="J33" s="41"/>
      <c r="K33" s="168" t="s">
        <v>25</v>
      </c>
      <c r="L33" s="169"/>
      <c r="M33" s="169"/>
      <c r="N33" s="170"/>
      <c r="O33" s="171">
        <v>16</v>
      </c>
      <c r="P33" s="169"/>
      <c r="Q33" s="170"/>
      <c r="R33" s="172">
        <f>O33/O33</f>
        <v>1</v>
      </c>
      <c r="S33" s="169"/>
      <c r="T33" s="92"/>
      <c r="U33" s="41"/>
      <c r="V33" s="41"/>
      <c r="W33" s="173" t="s">
        <v>26</v>
      </c>
      <c r="X33" s="169"/>
      <c r="Y33" s="170"/>
      <c r="Z33" s="44"/>
      <c r="AA33" s="45" t="s">
        <v>27</v>
      </c>
      <c r="AB33" s="174" t="s">
        <v>28</v>
      </c>
      <c r="AC33" s="92"/>
      <c r="AD33" s="6"/>
      <c r="AE33" s="6"/>
      <c r="AF33" s="6"/>
      <c r="AG33" s="6"/>
      <c r="AH33" s="41"/>
      <c r="AI33" s="41"/>
      <c r="AJ33" s="41"/>
      <c r="AK33" s="41"/>
      <c r="AL33" s="41"/>
      <c r="AM33" s="41"/>
      <c r="AN33" s="41"/>
      <c r="AO33" s="41"/>
      <c r="AP33" s="41"/>
      <c r="AQ33" s="42"/>
    </row>
    <row r="34" spans="1:43" ht="19.5" customHeight="1">
      <c r="A34" s="40"/>
      <c r="B34" s="41"/>
      <c r="C34" s="41"/>
      <c r="D34" s="41"/>
      <c r="E34" s="46" t="s">
        <v>29</v>
      </c>
      <c r="F34" s="180">
        <f>MAX(AL16:AL31)</f>
        <v>0</v>
      </c>
      <c r="G34" s="160"/>
      <c r="H34" s="41"/>
      <c r="I34" s="41"/>
      <c r="J34" s="41"/>
      <c r="K34" s="178" t="s">
        <v>30</v>
      </c>
      <c r="L34" s="133"/>
      <c r="M34" s="133"/>
      <c r="N34" s="134"/>
      <c r="O34" s="132">
        <f>COUNTIF(AL16:AL31,"&gt;0")</f>
        <v>0</v>
      </c>
      <c r="P34" s="133"/>
      <c r="Q34" s="134"/>
      <c r="R34" s="179">
        <f>O34/O33</f>
        <v>0</v>
      </c>
      <c r="S34" s="133"/>
      <c r="T34" s="160"/>
      <c r="U34" s="41"/>
      <c r="V34" s="41"/>
      <c r="W34" s="47" t="s">
        <v>31</v>
      </c>
      <c r="X34" s="132" t="s">
        <v>32</v>
      </c>
      <c r="Y34" s="134"/>
      <c r="Z34" s="48"/>
      <c r="AA34" s="49">
        <f>COUNTIFS(AL16:AL31,"&lt;=20",AL16:AL31,"&gt;=18")</f>
        <v>0</v>
      </c>
      <c r="AB34" s="179" t="e">
        <f t="shared" ref="AB34:AB37" si="29">AA34/$O$34</f>
        <v>#DIV/0!</v>
      </c>
      <c r="AC34" s="160"/>
      <c r="AD34" s="3"/>
      <c r="AE34" s="3"/>
      <c r="AF34" s="3"/>
      <c r="AG34" s="3"/>
      <c r="AH34" s="41"/>
      <c r="AI34" s="41"/>
      <c r="AJ34" s="41"/>
      <c r="AK34" s="41"/>
      <c r="AL34" s="41"/>
      <c r="AM34" s="41"/>
      <c r="AN34" s="41"/>
      <c r="AO34" s="41"/>
      <c r="AP34" s="41"/>
      <c r="AQ34" s="42"/>
    </row>
    <row r="35" spans="1:43" ht="19.5" customHeight="1">
      <c r="A35" s="40"/>
      <c r="B35" s="41"/>
      <c r="C35" s="41"/>
      <c r="D35" s="41"/>
      <c r="E35" s="46" t="s">
        <v>33</v>
      </c>
      <c r="F35" s="132"/>
      <c r="G35" s="160"/>
      <c r="H35" s="41"/>
      <c r="I35" s="41"/>
      <c r="J35" s="41"/>
      <c r="K35" s="178" t="s">
        <v>34</v>
      </c>
      <c r="L35" s="133"/>
      <c r="M35" s="133"/>
      <c r="N35" s="134"/>
      <c r="O35" s="132">
        <f>O33-O34</f>
        <v>16</v>
      </c>
      <c r="P35" s="133"/>
      <c r="Q35" s="134"/>
      <c r="R35" s="179">
        <f t="shared" ref="R35:R36" si="30">O35/O33</f>
        <v>1</v>
      </c>
      <c r="S35" s="133"/>
      <c r="T35" s="160"/>
      <c r="U35" s="41"/>
      <c r="V35" s="41"/>
      <c r="W35" s="47" t="s">
        <v>35</v>
      </c>
      <c r="X35" s="132" t="s">
        <v>36</v>
      </c>
      <c r="Y35" s="134"/>
      <c r="Z35" s="48"/>
      <c r="AA35" s="49">
        <f>COUNTIFS(AL16:AL31,"&lt;=17",AL16:AL31,"&gt;=14")</f>
        <v>0</v>
      </c>
      <c r="AB35" s="179" t="e">
        <f t="shared" si="29"/>
        <v>#DIV/0!</v>
      </c>
      <c r="AC35" s="160"/>
      <c r="AD35" s="3"/>
      <c r="AE35" s="3"/>
      <c r="AF35" s="3"/>
      <c r="AG35" s="3"/>
      <c r="AH35" s="41"/>
      <c r="AI35" s="41"/>
      <c r="AJ35" s="41"/>
      <c r="AK35" s="41"/>
      <c r="AL35" s="41"/>
      <c r="AM35" s="41"/>
      <c r="AN35" s="41"/>
      <c r="AO35" s="41"/>
      <c r="AP35" s="41"/>
      <c r="AQ35" s="42"/>
    </row>
    <row r="36" spans="1:43" ht="19.5" customHeight="1">
      <c r="A36" s="40"/>
      <c r="B36" s="41"/>
      <c r="C36" s="41"/>
      <c r="D36" s="41"/>
      <c r="E36" s="50" t="s">
        <v>37</v>
      </c>
      <c r="F36" s="166"/>
      <c r="G36" s="113"/>
      <c r="H36" s="41"/>
      <c r="I36" s="41"/>
      <c r="J36" s="41"/>
      <c r="K36" s="178" t="s">
        <v>38</v>
      </c>
      <c r="L36" s="133"/>
      <c r="M36" s="133"/>
      <c r="N36" s="134"/>
      <c r="O36" s="132">
        <f>COUNTIF(AL16:AL31,"&gt;=11")</f>
        <v>0</v>
      </c>
      <c r="P36" s="133"/>
      <c r="Q36" s="134"/>
      <c r="R36" s="179" t="e">
        <f t="shared" si="30"/>
        <v>#DIV/0!</v>
      </c>
      <c r="S36" s="133"/>
      <c r="T36" s="160"/>
      <c r="U36" s="41"/>
      <c r="V36" s="41"/>
      <c r="W36" s="47" t="s">
        <v>39</v>
      </c>
      <c r="X36" s="132" t="s">
        <v>40</v>
      </c>
      <c r="Y36" s="134"/>
      <c r="Z36" s="48"/>
      <c r="AA36" s="49">
        <f>COUNTIFS(AL16:AL31,"&lt;=13",AL16:AL31,"&gt;=11")</f>
        <v>0</v>
      </c>
      <c r="AB36" s="179" t="e">
        <f t="shared" si="29"/>
        <v>#DIV/0!</v>
      </c>
      <c r="AC36" s="160"/>
      <c r="AD36" s="3"/>
      <c r="AE36" s="3"/>
      <c r="AF36" s="3"/>
      <c r="AG36" s="3"/>
      <c r="AH36" s="41"/>
      <c r="AI36" s="41"/>
      <c r="AJ36" s="41"/>
      <c r="AK36" s="41"/>
      <c r="AL36" s="41"/>
      <c r="AM36" s="41"/>
      <c r="AN36" s="41"/>
      <c r="AO36" s="41"/>
      <c r="AP36" s="41"/>
      <c r="AQ36" s="42"/>
    </row>
    <row r="37" spans="1:43" ht="19.5" customHeight="1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177" t="s">
        <v>41</v>
      </c>
      <c r="L37" s="112"/>
      <c r="M37" s="112"/>
      <c r="N37" s="128"/>
      <c r="O37" s="166">
        <f>O34-O36</f>
        <v>0</v>
      </c>
      <c r="P37" s="112"/>
      <c r="Q37" s="128"/>
      <c r="R37" s="167" t="e">
        <f>O37/O34</f>
        <v>#DIV/0!</v>
      </c>
      <c r="S37" s="112"/>
      <c r="T37" s="113"/>
      <c r="U37" s="41"/>
      <c r="V37" s="41"/>
      <c r="W37" s="51" t="s">
        <v>42</v>
      </c>
      <c r="X37" s="166" t="s">
        <v>43</v>
      </c>
      <c r="Y37" s="128"/>
      <c r="Z37" s="52"/>
      <c r="AA37" s="53">
        <f>COUNTIFS(AL16:AL31,"&lt;=10",AL16:AL31,"&gt;=0")</f>
        <v>0</v>
      </c>
      <c r="AB37" s="167" t="e">
        <f t="shared" si="29"/>
        <v>#DIV/0!</v>
      </c>
      <c r="AC37" s="113"/>
      <c r="AD37" s="3"/>
      <c r="AE37" s="3"/>
      <c r="AF37" s="3"/>
      <c r="AG37" s="3"/>
      <c r="AH37" s="41"/>
      <c r="AI37" s="41"/>
      <c r="AJ37" s="41"/>
      <c r="AK37" s="41"/>
      <c r="AL37" s="41"/>
      <c r="AM37" s="41"/>
      <c r="AN37" s="41"/>
      <c r="AO37" s="41"/>
      <c r="AP37" s="41"/>
      <c r="AQ37" s="42"/>
    </row>
    <row r="38" spans="1:43" ht="15.75" customHeight="1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2"/>
    </row>
    <row r="39" spans="1:43" ht="19.5" customHeight="1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175" t="s">
        <v>44</v>
      </c>
      <c r="AE39" s="106"/>
      <c r="AF39" s="176">
        <v>7</v>
      </c>
      <c r="AG39" s="126"/>
      <c r="AH39" s="55">
        <v>8</v>
      </c>
      <c r="AI39" s="56">
        <v>25</v>
      </c>
      <c r="AJ39" s="41"/>
      <c r="AK39" s="41"/>
      <c r="AL39" s="41"/>
      <c r="AM39" s="41"/>
      <c r="AN39" s="41"/>
      <c r="AO39" s="41"/>
      <c r="AP39" s="41"/>
      <c r="AQ39" s="42"/>
    </row>
    <row r="40" spans="1:43" ht="15.75" customHeight="1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2"/>
    </row>
    <row r="41" spans="1:43" ht="15.75" customHeight="1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2"/>
    </row>
    <row r="42" spans="1:43" ht="15.75" customHeight="1">
      <c r="A42" s="57"/>
      <c r="B42" s="58"/>
      <c r="C42" s="58"/>
      <c r="D42" s="58"/>
      <c r="E42" s="59" t="s">
        <v>45</v>
      </c>
      <c r="F42" s="58"/>
      <c r="G42" s="58"/>
      <c r="H42" s="58"/>
      <c r="I42" s="58"/>
      <c r="J42" s="58"/>
      <c r="K42" s="58"/>
      <c r="L42" s="58"/>
      <c r="M42" s="58"/>
      <c r="N42" s="165" t="s">
        <v>46</v>
      </c>
      <c r="O42" s="112"/>
      <c r="P42" s="112"/>
      <c r="Q42" s="112"/>
      <c r="R42" s="112"/>
      <c r="S42" s="112"/>
      <c r="T42" s="112"/>
      <c r="U42" s="112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60"/>
    </row>
    <row r="43" spans="1:43" ht="15.75" customHeight="1"/>
    <row r="44" spans="1:43" ht="15.75" customHeight="1"/>
    <row r="45" spans="1:43" ht="15.75" customHeight="1"/>
    <row r="46" spans="1:43" ht="15.75" customHeight="1"/>
    <row r="47" spans="1:43" ht="15.75" customHeight="1"/>
    <row r="48" spans="1:4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10">
    <mergeCell ref="AD39:AE39"/>
    <mergeCell ref="F36:G36"/>
    <mergeCell ref="X36:Y36"/>
    <mergeCell ref="AF39:AG39"/>
    <mergeCell ref="X35:Y35"/>
    <mergeCell ref="X34:Y34"/>
    <mergeCell ref="K37:N37"/>
    <mergeCell ref="K36:N36"/>
    <mergeCell ref="F35:G35"/>
    <mergeCell ref="K35:N35"/>
    <mergeCell ref="K34:N34"/>
    <mergeCell ref="O36:Q36"/>
    <mergeCell ref="R36:T36"/>
    <mergeCell ref="O35:Q35"/>
    <mergeCell ref="R35:T35"/>
    <mergeCell ref="O34:Q34"/>
    <mergeCell ref="R34:T34"/>
    <mergeCell ref="AB37:AC37"/>
    <mergeCell ref="AB36:AC36"/>
    <mergeCell ref="AB35:AC35"/>
    <mergeCell ref="AB34:AC34"/>
    <mergeCell ref="F34:G34"/>
    <mergeCell ref="N42:U42"/>
    <mergeCell ref="O37:Q37"/>
    <mergeCell ref="R37:T37"/>
    <mergeCell ref="X37:Y37"/>
    <mergeCell ref="K33:N33"/>
    <mergeCell ref="O33:Q33"/>
    <mergeCell ref="R33:T33"/>
    <mergeCell ref="W33:Y33"/>
    <mergeCell ref="AB33:AC33"/>
    <mergeCell ref="L6:L15"/>
    <mergeCell ref="S6:S15"/>
    <mergeCell ref="Z6:Z15"/>
    <mergeCell ref="AN6:AN15"/>
    <mergeCell ref="AO6:AO15"/>
    <mergeCell ref="AH3:AI3"/>
    <mergeCell ref="AJ3:AQ3"/>
    <mergeCell ref="AP6:AP15"/>
    <mergeCell ref="AM5:AP5"/>
    <mergeCell ref="AQ5:AQ15"/>
    <mergeCell ref="AJ4:AQ4"/>
    <mergeCell ref="AM6:AM15"/>
    <mergeCell ref="AH4:AI4"/>
    <mergeCell ref="AH5:AK5"/>
    <mergeCell ref="AL5:AL15"/>
    <mergeCell ref="AH6:AH15"/>
    <mergeCell ref="AI6:AI15"/>
    <mergeCell ref="AJ6:AJ15"/>
    <mergeCell ref="AK6:AK15"/>
    <mergeCell ref="R3:V3"/>
    <mergeCell ref="W3:AA3"/>
    <mergeCell ref="AB3:AE3"/>
    <mergeCell ref="M8:M15"/>
    <mergeCell ref="N8:N15"/>
    <mergeCell ref="AA8:AA15"/>
    <mergeCell ref="AB8:AB15"/>
    <mergeCell ref="AC8:AC15"/>
    <mergeCell ref="AD8:AD15"/>
    <mergeCell ref="AE8:AE15"/>
    <mergeCell ref="AF8:AF15"/>
    <mergeCell ref="T8:T15"/>
    <mergeCell ref="U8:U15"/>
    <mergeCell ref="V8:V15"/>
    <mergeCell ref="W8:W15"/>
    <mergeCell ref="X8:X15"/>
    <mergeCell ref="Y8:Y15"/>
    <mergeCell ref="A1:D4"/>
    <mergeCell ref="F8:F15"/>
    <mergeCell ref="G8:G15"/>
    <mergeCell ref="F5:AF5"/>
    <mergeCell ref="I4:V4"/>
    <mergeCell ref="W4:AA4"/>
    <mergeCell ref="AB4:AE4"/>
    <mergeCell ref="F1:AQ2"/>
    <mergeCell ref="F3:H3"/>
    <mergeCell ref="I3:N3"/>
    <mergeCell ref="O3:Q3"/>
    <mergeCell ref="AG5:AG15"/>
    <mergeCell ref="H8:H15"/>
    <mergeCell ref="I8:I15"/>
    <mergeCell ref="J8:J15"/>
    <mergeCell ref="K8:K15"/>
    <mergeCell ref="F6:K7"/>
    <mergeCell ref="M6:R7"/>
    <mergeCell ref="O8:O15"/>
    <mergeCell ref="P8:P15"/>
    <mergeCell ref="Q8:Q15"/>
    <mergeCell ref="R8:R15"/>
    <mergeCell ref="T6:Y7"/>
    <mergeCell ref="AA6:AF7"/>
    <mergeCell ref="F33:G33"/>
    <mergeCell ref="B29:E29"/>
    <mergeCell ref="B30:E30"/>
    <mergeCell ref="A5:A15"/>
    <mergeCell ref="B5:E15"/>
    <mergeCell ref="B31:E31"/>
    <mergeCell ref="B28:E28"/>
    <mergeCell ref="B22:E22"/>
    <mergeCell ref="B23:E23"/>
    <mergeCell ref="B24:E24"/>
    <mergeCell ref="B25:E25"/>
    <mergeCell ref="B26:E26"/>
    <mergeCell ref="B27:E27"/>
    <mergeCell ref="B16:E16"/>
    <mergeCell ref="B17:E17"/>
    <mergeCell ref="B18:E18"/>
    <mergeCell ref="B19:E19"/>
    <mergeCell ref="B20:E20"/>
    <mergeCell ref="B21:E21"/>
  </mergeCells>
  <conditionalFormatting sqref="K16:K17 Y16:Y17 F18:K31 R16:R30 T18:Y31 AH16:AL31 M18:M30 M31:R31 AA18:AE31 AF16:AF31">
    <cfRule type="cellIs" dxfId="204" priority="1" operator="equal">
      <formula>10.5</formula>
    </cfRule>
  </conditionalFormatting>
  <conditionalFormatting sqref="K16:K17 Y16:Y17 F18:K31 R16:R30 T18:Y31 AH16:AL31 M18:M30 M31:R31 AA18:AE31 AF16:AF31">
    <cfRule type="cellIs" dxfId="203" priority="2" operator="lessThan">
      <formula>0</formula>
    </cfRule>
  </conditionalFormatting>
  <conditionalFormatting sqref="K16:K17 Y16:Y17 F18:K31 R16:R30 T18:Y31 AH16:AL31 M18:M30 M31:R31 AA18:AE31 AF16:AF31">
    <cfRule type="cellIs" dxfId="202" priority="3" operator="lessThan">
      <formula>10.5</formula>
    </cfRule>
  </conditionalFormatting>
  <conditionalFormatting sqref="K16:K17 Y16:Y17 F18:K31 R16:R30 T18:Y31 AH16:AL31 M18:M30 M31:R31 AA18:AE31 AF16:AF31">
    <cfRule type="cellIs" dxfId="201" priority="4" operator="greaterThan">
      <formula>20</formula>
    </cfRule>
  </conditionalFormatting>
  <conditionalFormatting sqref="K16:K17 Y16:Y17 F18:K31 R16:R30 T18:Y31 AH16:AL31 M18:M30 M31:R31 AA18:AE31 AF16:AF31">
    <cfRule type="cellIs" dxfId="200" priority="5" operator="greaterThan">
      <formula>10.5</formula>
    </cfRule>
  </conditionalFormatting>
  <conditionalFormatting sqref="N18:Q30">
    <cfRule type="cellIs" dxfId="199" priority="21" operator="equal">
      <formula>10.5</formula>
    </cfRule>
  </conditionalFormatting>
  <conditionalFormatting sqref="N18:Q30">
    <cfRule type="cellIs" dxfId="198" priority="22" operator="lessThan">
      <formula>0</formula>
    </cfRule>
  </conditionalFormatting>
  <conditionalFormatting sqref="N18:Q30">
    <cfRule type="cellIs" dxfId="197" priority="23" operator="lessThan">
      <formula>10.5</formula>
    </cfRule>
  </conditionalFormatting>
  <conditionalFormatting sqref="N18:Q30">
    <cfRule type="cellIs" dxfId="196" priority="24" operator="greaterThan">
      <formula>20</formula>
    </cfRule>
  </conditionalFormatting>
  <conditionalFormatting sqref="N18:Q30">
    <cfRule type="cellIs" dxfId="195" priority="25" operator="greaterThan">
      <formula>10.5</formula>
    </cfRule>
  </conditionalFormatting>
  <conditionalFormatting sqref="AM16:AQ31">
    <cfRule type="cellIs" dxfId="194" priority="26" operator="equal">
      <formula>"C"</formula>
    </cfRule>
  </conditionalFormatting>
  <conditionalFormatting sqref="AM16:AQ31">
    <cfRule type="cellIs" dxfId="193" priority="27" operator="equal">
      <formula>"B"</formula>
    </cfRule>
  </conditionalFormatting>
  <conditionalFormatting sqref="AM16:AQ31">
    <cfRule type="cellIs" dxfId="192" priority="28" operator="equal">
      <formula>"A"</formula>
    </cfRule>
  </conditionalFormatting>
  <conditionalFormatting sqref="AM16:AQ31">
    <cfRule type="cellIs" dxfId="191" priority="29" operator="equal">
      <formula>"AD"</formula>
    </cfRule>
  </conditionalFormatting>
  <conditionalFormatting sqref="F16:J17">
    <cfRule type="cellIs" dxfId="190" priority="40" operator="equal">
      <formula>10.5</formula>
    </cfRule>
  </conditionalFormatting>
  <conditionalFormatting sqref="F16:J17">
    <cfRule type="cellIs" dxfId="189" priority="41" operator="lessThan">
      <formula>0</formula>
    </cfRule>
  </conditionalFormatting>
  <conditionalFormatting sqref="F16:J17">
    <cfRule type="cellIs" dxfId="188" priority="42" operator="lessThan">
      <formula>10.5</formula>
    </cfRule>
  </conditionalFormatting>
  <conditionalFormatting sqref="F16:J17">
    <cfRule type="cellIs" dxfId="187" priority="43" operator="greaterThan">
      <formula>20</formula>
    </cfRule>
  </conditionalFormatting>
  <conditionalFormatting sqref="F16:J17">
    <cfRule type="cellIs" dxfId="186" priority="44" operator="greaterThan">
      <formula>10.5</formula>
    </cfRule>
  </conditionalFormatting>
  <conditionalFormatting sqref="M16:M17">
    <cfRule type="cellIs" dxfId="185" priority="45" operator="equal">
      <formula>10.5</formula>
    </cfRule>
  </conditionalFormatting>
  <conditionalFormatting sqref="M16:M17">
    <cfRule type="cellIs" dxfId="184" priority="46" operator="lessThan">
      <formula>0</formula>
    </cfRule>
  </conditionalFormatting>
  <conditionalFormatting sqref="M16:M17">
    <cfRule type="cellIs" dxfId="183" priority="47" operator="lessThan">
      <formula>10.5</formula>
    </cfRule>
  </conditionalFormatting>
  <conditionalFormatting sqref="M16:M17">
    <cfRule type="cellIs" dxfId="182" priority="48" operator="greaterThan">
      <formula>20</formula>
    </cfRule>
  </conditionalFormatting>
  <conditionalFormatting sqref="M16:M17">
    <cfRule type="cellIs" dxfId="181" priority="49" operator="greaterThan">
      <formula>10.5</formula>
    </cfRule>
  </conditionalFormatting>
  <conditionalFormatting sqref="N16:Q17">
    <cfRule type="cellIs" dxfId="180" priority="50" operator="equal">
      <formula>10.5</formula>
    </cfRule>
  </conditionalFormatting>
  <conditionalFormatting sqref="N16:Q17">
    <cfRule type="cellIs" dxfId="179" priority="51" operator="lessThan">
      <formula>0</formula>
    </cfRule>
  </conditionalFormatting>
  <conditionalFormatting sqref="N16:Q17">
    <cfRule type="cellIs" dxfId="178" priority="52" operator="lessThan">
      <formula>10.5</formula>
    </cfRule>
  </conditionalFormatting>
  <conditionalFormatting sqref="N16:Q17">
    <cfRule type="cellIs" dxfId="177" priority="53" operator="greaterThan">
      <formula>20</formula>
    </cfRule>
  </conditionalFormatting>
  <conditionalFormatting sqref="N16:Q17">
    <cfRule type="cellIs" dxfId="176" priority="54" operator="greaterThan">
      <formula>10.5</formula>
    </cfRule>
  </conditionalFormatting>
  <conditionalFormatting sqref="T16:X17">
    <cfRule type="cellIs" dxfId="175" priority="55" operator="equal">
      <formula>10.5</formula>
    </cfRule>
  </conditionalFormatting>
  <conditionalFormatting sqref="T16:X17">
    <cfRule type="cellIs" dxfId="174" priority="56" operator="lessThan">
      <formula>0</formula>
    </cfRule>
  </conditionalFormatting>
  <conditionalFormatting sqref="T16:X17">
    <cfRule type="cellIs" dxfId="173" priority="57" operator="lessThan">
      <formula>10.5</formula>
    </cfRule>
  </conditionalFormatting>
  <conditionalFormatting sqref="T16:X17">
    <cfRule type="cellIs" dxfId="172" priority="58" operator="greaterThan">
      <formula>20</formula>
    </cfRule>
  </conditionalFormatting>
  <conditionalFormatting sqref="T16:X17">
    <cfRule type="cellIs" dxfId="171" priority="59" operator="greaterThan">
      <formula>10.5</formula>
    </cfRule>
  </conditionalFormatting>
  <conditionalFormatting sqref="AA16:AE17">
    <cfRule type="cellIs" dxfId="170" priority="60" operator="equal">
      <formula>10.5</formula>
    </cfRule>
  </conditionalFormatting>
  <conditionalFormatting sqref="AA16:AE17">
    <cfRule type="cellIs" dxfId="169" priority="61" operator="lessThan">
      <formula>0</formula>
    </cfRule>
  </conditionalFormatting>
  <conditionalFormatting sqref="AA16:AE17">
    <cfRule type="cellIs" dxfId="168" priority="62" operator="lessThan">
      <formula>10.5</formula>
    </cfRule>
  </conditionalFormatting>
  <conditionalFormatting sqref="AA16:AE17">
    <cfRule type="cellIs" dxfId="167" priority="63" operator="greaterThan">
      <formula>20</formula>
    </cfRule>
  </conditionalFormatting>
  <conditionalFormatting sqref="AA16:AE17">
    <cfRule type="cellIs" dxfId="166" priority="64" operator="greaterThan">
      <formula>10.5</formula>
    </cfRule>
  </conditionalFormatting>
  <printOptions horizontalCentered="1" verticalCentered="1"/>
  <pageMargins left="0" right="0" top="0" bottom="0" header="0" footer="0"/>
  <pageSetup paperSize="9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97"/>
  <sheetViews>
    <sheetView tabSelected="1" topLeftCell="S1" workbookViewId="0">
      <selection activeCell="Z18" sqref="Z18"/>
    </sheetView>
  </sheetViews>
  <sheetFormatPr baseColWidth="10" defaultColWidth="14.42578125" defaultRowHeight="15" customHeight="1"/>
  <cols>
    <col min="1" max="4" width="3.5703125" customWidth="1"/>
    <col min="5" max="5" width="37.85546875" customWidth="1"/>
    <col min="6" max="10" width="4.7109375" customWidth="1"/>
    <col min="11" max="11" width="6.7109375" customWidth="1"/>
    <col min="12" max="12" width="36.85546875" customWidth="1"/>
    <col min="13" max="17" width="4.7109375" customWidth="1"/>
    <col min="18" max="18" width="6.7109375" customWidth="1"/>
    <col min="19" max="19" width="36.85546875" customWidth="1"/>
    <col min="20" max="24" width="4.7109375" customWidth="1"/>
    <col min="25" max="25" width="6.7109375" customWidth="1"/>
    <col min="26" max="26" width="36.85546875" customWidth="1"/>
    <col min="27" max="31" width="4.7109375" customWidth="1"/>
    <col min="32" max="32" width="6.7109375" customWidth="1"/>
    <col min="33" max="33" width="46.140625" customWidth="1"/>
    <col min="34" max="43" width="6.7109375" customWidth="1"/>
    <col min="44" max="44" width="10.7109375" customWidth="1"/>
  </cols>
  <sheetData>
    <row r="1" spans="1:43" ht="24.75" customHeight="1">
      <c r="A1" s="117"/>
      <c r="B1" s="103"/>
      <c r="C1" s="103"/>
      <c r="D1" s="103"/>
      <c r="E1" s="1" t="s">
        <v>0</v>
      </c>
      <c r="F1" s="130" t="s">
        <v>106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4"/>
    </row>
    <row r="2" spans="1:43" ht="24.75" customHeight="1">
      <c r="A2" s="118"/>
      <c r="B2" s="106"/>
      <c r="C2" s="106"/>
      <c r="D2" s="106"/>
      <c r="E2" s="2" t="s">
        <v>1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7"/>
    </row>
    <row r="3" spans="1:43" ht="19.5" customHeight="1">
      <c r="A3" s="118"/>
      <c r="B3" s="106"/>
      <c r="C3" s="106"/>
      <c r="D3" s="106"/>
      <c r="E3" s="2" t="s">
        <v>2</v>
      </c>
      <c r="F3" s="131" t="s">
        <v>3</v>
      </c>
      <c r="G3" s="106"/>
      <c r="H3" s="106"/>
      <c r="I3" s="132" t="s">
        <v>4</v>
      </c>
      <c r="J3" s="133"/>
      <c r="K3" s="133"/>
      <c r="L3" s="133"/>
      <c r="M3" s="133"/>
      <c r="N3" s="134"/>
      <c r="O3" s="135" t="s">
        <v>5</v>
      </c>
      <c r="P3" s="136"/>
      <c r="Q3" s="137"/>
      <c r="R3" s="132" t="s">
        <v>47</v>
      </c>
      <c r="S3" s="133"/>
      <c r="T3" s="133"/>
      <c r="U3" s="133"/>
      <c r="V3" s="134"/>
      <c r="W3" s="131" t="s">
        <v>7</v>
      </c>
      <c r="X3" s="106"/>
      <c r="Y3" s="106"/>
      <c r="Z3" s="106"/>
      <c r="AA3" s="106"/>
      <c r="AB3" s="132" t="s">
        <v>8</v>
      </c>
      <c r="AC3" s="133"/>
      <c r="AD3" s="133"/>
      <c r="AE3" s="134"/>
      <c r="AF3" s="3"/>
      <c r="AG3" s="3"/>
      <c r="AH3" s="131" t="s">
        <v>9</v>
      </c>
      <c r="AI3" s="106"/>
      <c r="AJ3" s="159"/>
      <c r="AK3" s="133"/>
      <c r="AL3" s="133"/>
      <c r="AM3" s="133"/>
      <c r="AN3" s="133"/>
      <c r="AO3" s="133"/>
      <c r="AP3" s="133"/>
      <c r="AQ3" s="160"/>
    </row>
    <row r="4" spans="1:43" ht="19.5" customHeight="1" thickBot="1">
      <c r="A4" s="119"/>
      <c r="B4" s="193"/>
      <c r="C4" s="193"/>
      <c r="D4" s="193"/>
      <c r="E4" s="90" t="s">
        <v>10</v>
      </c>
      <c r="F4" s="5" t="s">
        <v>11</v>
      </c>
      <c r="G4" s="5"/>
      <c r="H4" s="5"/>
      <c r="I4" s="127" t="s">
        <v>12</v>
      </c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28"/>
      <c r="W4" s="129" t="s">
        <v>13</v>
      </c>
      <c r="X4" s="109"/>
      <c r="Y4" s="109"/>
      <c r="Z4" s="109"/>
      <c r="AA4" s="109"/>
      <c r="AB4" s="127"/>
      <c r="AC4" s="112"/>
      <c r="AD4" s="112"/>
      <c r="AE4" s="128"/>
      <c r="AF4" s="6"/>
      <c r="AG4" s="6"/>
      <c r="AH4" s="129" t="s">
        <v>14</v>
      </c>
      <c r="AI4" s="109"/>
      <c r="AJ4" s="127"/>
      <c r="AK4" s="112"/>
      <c r="AL4" s="112"/>
      <c r="AM4" s="112"/>
      <c r="AN4" s="112"/>
      <c r="AO4" s="112"/>
      <c r="AP4" s="112"/>
      <c r="AQ4" s="113"/>
    </row>
    <row r="5" spans="1:43" ht="19.5" customHeight="1" thickBot="1">
      <c r="A5" s="200" t="s">
        <v>15</v>
      </c>
      <c r="B5" s="182" t="s">
        <v>16</v>
      </c>
      <c r="C5" s="183"/>
      <c r="D5" s="183"/>
      <c r="E5" s="184"/>
      <c r="F5" s="181" t="s">
        <v>17</v>
      </c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6"/>
      <c r="AG5" s="138" t="s">
        <v>18</v>
      </c>
      <c r="AH5" s="162" t="s">
        <v>19</v>
      </c>
      <c r="AI5" s="125"/>
      <c r="AJ5" s="125"/>
      <c r="AK5" s="163"/>
      <c r="AL5" s="145" t="s">
        <v>20</v>
      </c>
      <c r="AM5" s="162" t="s">
        <v>21</v>
      </c>
      <c r="AN5" s="125"/>
      <c r="AO5" s="125"/>
      <c r="AP5" s="163"/>
      <c r="AQ5" s="145" t="s">
        <v>22</v>
      </c>
    </row>
    <row r="6" spans="1:43" ht="19.5" customHeight="1">
      <c r="A6" s="201"/>
      <c r="B6" s="185"/>
      <c r="C6" s="106"/>
      <c r="D6" s="106"/>
      <c r="E6" s="186"/>
      <c r="F6" s="148"/>
      <c r="G6" s="149"/>
      <c r="H6" s="149"/>
      <c r="I6" s="149"/>
      <c r="J6" s="149"/>
      <c r="K6" s="150"/>
      <c r="L6" s="157" t="s">
        <v>18</v>
      </c>
      <c r="M6" s="148"/>
      <c r="N6" s="149"/>
      <c r="O6" s="149"/>
      <c r="P6" s="149"/>
      <c r="Q6" s="149"/>
      <c r="R6" s="150"/>
      <c r="S6" s="157" t="s">
        <v>18</v>
      </c>
      <c r="T6" s="148"/>
      <c r="U6" s="149"/>
      <c r="V6" s="149"/>
      <c r="W6" s="149"/>
      <c r="X6" s="149"/>
      <c r="Y6" s="150"/>
      <c r="Z6" s="157" t="s">
        <v>18</v>
      </c>
      <c r="AA6" s="148"/>
      <c r="AB6" s="149"/>
      <c r="AC6" s="149"/>
      <c r="AD6" s="149"/>
      <c r="AE6" s="149"/>
      <c r="AF6" s="150"/>
      <c r="AG6" s="139"/>
      <c r="AH6" s="164"/>
      <c r="AI6" s="158"/>
      <c r="AJ6" s="158"/>
      <c r="AK6" s="161"/>
      <c r="AL6" s="146"/>
      <c r="AM6" s="164"/>
      <c r="AN6" s="158"/>
      <c r="AO6" s="158"/>
      <c r="AP6" s="161"/>
      <c r="AQ6" s="146"/>
    </row>
    <row r="7" spans="1:43" ht="57" customHeight="1" thickBot="1">
      <c r="A7" s="201"/>
      <c r="B7" s="185"/>
      <c r="C7" s="106"/>
      <c r="D7" s="106"/>
      <c r="E7" s="186"/>
      <c r="F7" s="151"/>
      <c r="G7" s="152"/>
      <c r="H7" s="152"/>
      <c r="I7" s="152"/>
      <c r="J7" s="152"/>
      <c r="K7" s="140"/>
      <c r="L7" s="146"/>
      <c r="M7" s="151"/>
      <c r="N7" s="152"/>
      <c r="O7" s="152"/>
      <c r="P7" s="152"/>
      <c r="Q7" s="152"/>
      <c r="R7" s="140"/>
      <c r="S7" s="146"/>
      <c r="T7" s="151"/>
      <c r="U7" s="152"/>
      <c r="V7" s="152"/>
      <c r="W7" s="152"/>
      <c r="X7" s="152"/>
      <c r="Y7" s="140"/>
      <c r="Z7" s="146"/>
      <c r="AA7" s="151"/>
      <c r="AB7" s="152"/>
      <c r="AC7" s="152"/>
      <c r="AD7" s="152"/>
      <c r="AE7" s="152"/>
      <c r="AF7" s="140"/>
      <c r="AG7" s="139"/>
      <c r="AH7" s="100"/>
      <c r="AI7" s="122"/>
      <c r="AJ7" s="122"/>
      <c r="AK7" s="122"/>
      <c r="AL7" s="146"/>
      <c r="AM7" s="100"/>
      <c r="AN7" s="122"/>
      <c r="AO7" s="122"/>
      <c r="AP7" s="122"/>
      <c r="AQ7" s="146"/>
    </row>
    <row r="8" spans="1:43" ht="19.5" customHeight="1">
      <c r="A8" s="201"/>
      <c r="B8" s="185"/>
      <c r="C8" s="106"/>
      <c r="D8" s="106"/>
      <c r="E8" s="186"/>
      <c r="F8" s="190"/>
      <c r="G8" s="121"/>
      <c r="H8" s="141"/>
      <c r="I8" s="142"/>
      <c r="J8" s="141"/>
      <c r="K8" s="145" t="s">
        <v>23</v>
      </c>
      <c r="L8" s="146"/>
      <c r="M8" s="120"/>
      <c r="N8" s="121"/>
      <c r="O8" s="141"/>
      <c r="P8" s="142"/>
      <c r="Q8" s="141"/>
      <c r="R8" s="145" t="s">
        <v>23</v>
      </c>
      <c r="S8" s="146"/>
      <c r="T8" s="120"/>
      <c r="U8" s="121"/>
      <c r="V8" s="141"/>
      <c r="W8" s="141"/>
      <c r="X8" s="225"/>
      <c r="Y8" s="145" t="s">
        <v>23</v>
      </c>
      <c r="Z8" s="146"/>
      <c r="AA8" s="153"/>
      <c r="AB8" s="154"/>
      <c r="AC8" s="155"/>
      <c r="AD8" s="155"/>
      <c r="AE8" s="156"/>
      <c r="AF8" s="145" t="s">
        <v>23</v>
      </c>
      <c r="AG8" s="139"/>
      <c r="AH8" s="100"/>
      <c r="AI8" s="122"/>
      <c r="AJ8" s="122"/>
      <c r="AK8" s="122"/>
      <c r="AL8" s="146"/>
      <c r="AM8" s="100"/>
      <c r="AN8" s="122"/>
      <c r="AO8" s="122"/>
      <c r="AP8" s="122"/>
      <c r="AQ8" s="146"/>
    </row>
    <row r="9" spans="1:43" ht="19.5" customHeight="1">
      <c r="A9" s="201"/>
      <c r="B9" s="185"/>
      <c r="C9" s="106"/>
      <c r="D9" s="106"/>
      <c r="E9" s="186"/>
      <c r="F9" s="191"/>
      <c r="G9" s="122"/>
      <c r="H9" s="105"/>
      <c r="I9" s="143"/>
      <c r="J9" s="105"/>
      <c r="K9" s="146"/>
      <c r="L9" s="146"/>
      <c r="M9" s="100"/>
      <c r="N9" s="122"/>
      <c r="O9" s="105"/>
      <c r="P9" s="143"/>
      <c r="Q9" s="105"/>
      <c r="R9" s="146"/>
      <c r="S9" s="146"/>
      <c r="T9" s="100"/>
      <c r="U9" s="122"/>
      <c r="V9" s="105"/>
      <c r="W9" s="105"/>
      <c r="X9" s="226"/>
      <c r="Y9" s="146"/>
      <c r="Z9" s="146"/>
      <c r="AA9" s="100"/>
      <c r="AB9" s="122"/>
      <c r="AC9" s="105"/>
      <c r="AD9" s="105"/>
      <c r="AE9" s="143"/>
      <c r="AF9" s="146"/>
      <c r="AG9" s="139"/>
      <c r="AH9" s="100"/>
      <c r="AI9" s="122"/>
      <c r="AJ9" s="122"/>
      <c r="AK9" s="122"/>
      <c r="AL9" s="146"/>
      <c r="AM9" s="100"/>
      <c r="AN9" s="122"/>
      <c r="AO9" s="122"/>
      <c r="AP9" s="122"/>
      <c r="AQ9" s="146"/>
    </row>
    <row r="10" spans="1:43" ht="19.5" customHeight="1">
      <c r="A10" s="201"/>
      <c r="B10" s="185"/>
      <c r="C10" s="106"/>
      <c r="D10" s="106"/>
      <c r="E10" s="186"/>
      <c r="F10" s="191"/>
      <c r="G10" s="122"/>
      <c r="H10" s="105"/>
      <c r="I10" s="143"/>
      <c r="J10" s="105"/>
      <c r="K10" s="146"/>
      <c r="L10" s="146"/>
      <c r="M10" s="100"/>
      <c r="N10" s="122"/>
      <c r="O10" s="105"/>
      <c r="P10" s="143"/>
      <c r="Q10" s="105"/>
      <c r="R10" s="146"/>
      <c r="S10" s="146"/>
      <c r="T10" s="100"/>
      <c r="U10" s="122"/>
      <c r="V10" s="105"/>
      <c r="W10" s="105"/>
      <c r="X10" s="226"/>
      <c r="Y10" s="146"/>
      <c r="Z10" s="146"/>
      <c r="AA10" s="100"/>
      <c r="AB10" s="122"/>
      <c r="AC10" s="105"/>
      <c r="AD10" s="105"/>
      <c r="AE10" s="143"/>
      <c r="AF10" s="146"/>
      <c r="AG10" s="139"/>
      <c r="AH10" s="100"/>
      <c r="AI10" s="122"/>
      <c r="AJ10" s="122"/>
      <c r="AK10" s="122"/>
      <c r="AL10" s="146"/>
      <c r="AM10" s="100"/>
      <c r="AN10" s="122"/>
      <c r="AO10" s="122"/>
      <c r="AP10" s="122"/>
      <c r="AQ10" s="146"/>
    </row>
    <row r="11" spans="1:43" ht="19.5" customHeight="1">
      <c r="A11" s="201"/>
      <c r="B11" s="185"/>
      <c r="C11" s="106"/>
      <c r="D11" s="106"/>
      <c r="E11" s="186"/>
      <c r="F11" s="191"/>
      <c r="G11" s="122"/>
      <c r="H11" s="105"/>
      <c r="I11" s="143"/>
      <c r="J11" s="105"/>
      <c r="K11" s="146"/>
      <c r="L11" s="146"/>
      <c r="M11" s="100"/>
      <c r="N11" s="122"/>
      <c r="O11" s="105"/>
      <c r="P11" s="143"/>
      <c r="Q11" s="105"/>
      <c r="R11" s="146"/>
      <c r="S11" s="146"/>
      <c r="T11" s="100"/>
      <c r="U11" s="122"/>
      <c r="V11" s="105"/>
      <c r="W11" s="105"/>
      <c r="X11" s="226"/>
      <c r="Y11" s="146"/>
      <c r="Z11" s="146"/>
      <c r="AA11" s="100"/>
      <c r="AB11" s="122"/>
      <c r="AC11" s="105"/>
      <c r="AD11" s="105"/>
      <c r="AE11" s="143"/>
      <c r="AF11" s="146"/>
      <c r="AG11" s="139"/>
      <c r="AH11" s="100"/>
      <c r="AI11" s="122"/>
      <c r="AJ11" s="122"/>
      <c r="AK11" s="122"/>
      <c r="AL11" s="146"/>
      <c r="AM11" s="100"/>
      <c r="AN11" s="122"/>
      <c r="AO11" s="122"/>
      <c r="AP11" s="122"/>
      <c r="AQ11" s="146"/>
    </row>
    <row r="12" spans="1:43" ht="19.5" customHeight="1">
      <c r="A12" s="201"/>
      <c r="B12" s="185"/>
      <c r="C12" s="106"/>
      <c r="D12" s="106"/>
      <c r="E12" s="186"/>
      <c r="F12" s="191"/>
      <c r="G12" s="122"/>
      <c r="H12" s="105"/>
      <c r="I12" s="143"/>
      <c r="J12" s="105"/>
      <c r="K12" s="146"/>
      <c r="L12" s="146"/>
      <c r="M12" s="100"/>
      <c r="N12" s="122"/>
      <c r="O12" s="105"/>
      <c r="P12" s="143"/>
      <c r="Q12" s="105"/>
      <c r="R12" s="146"/>
      <c r="S12" s="146"/>
      <c r="T12" s="100"/>
      <c r="U12" s="122"/>
      <c r="V12" s="105"/>
      <c r="W12" s="105"/>
      <c r="X12" s="226"/>
      <c r="Y12" s="146"/>
      <c r="Z12" s="146"/>
      <c r="AA12" s="100"/>
      <c r="AB12" s="122"/>
      <c r="AC12" s="105"/>
      <c r="AD12" s="105"/>
      <c r="AE12" s="143"/>
      <c r="AF12" s="146"/>
      <c r="AG12" s="139"/>
      <c r="AH12" s="100"/>
      <c r="AI12" s="122"/>
      <c r="AJ12" s="122"/>
      <c r="AK12" s="122"/>
      <c r="AL12" s="146"/>
      <c r="AM12" s="100"/>
      <c r="AN12" s="122"/>
      <c r="AO12" s="122"/>
      <c r="AP12" s="122"/>
      <c r="AQ12" s="146"/>
    </row>
    <row r="13" spans="1:43" ht="19.5" customHeight="1">
      <c r="A13" s="201"/>
      <c r="B13" s="185"/>
      <c r="C13" s="106"/>
      <c r="D13" s="106"/>
      <c r="E13" s="186"/>
      <c r="F13" s="191"/>
      <c r="G13" s="122"/>
      <c r="H13" s="105"/>
      <c r="I13" s="143"/>
      <c r="J13" s="105"/>
      <c r="K13" s="146"/>
      <c r="L13" s="146"/>
      <c r="M13" s="100"/>
      <c r="N13" s="122"/>
      <c r="O13" s="105"/>
      <c r="P13" s="143"/>
      <c r="Q13" s="105"/>
      <c r="R13" s="146"/>
      <c r="S13" s="146"/>
      <c r="T13" s="100"/>
      <c r="U13" s="122"/>
      <c r="V13" s="105"/>
      <c r="W13" s="105"/>
      <c r="X13" s="226"/>
      <c r="Y13" s="146"/>
      <c r="Z13" s="146"/>
      <c r="AA13" s="100"/>
      <c r="AB13" s="122"/>
      <c r="AC13" s="105"/>
      <c r="AD13" s="105"/>
      <c r="AE13" s="143"/>
      <c r="AF13" s="146"/>
      <c r="AG13" s="139"/>
      <c r="AH13" s="100"/>
      <c r="AI13" s="122"/>
      <c r="AJ13" s="122"/>
      <c r="AK13" s="122"/>
      <c r="AL13" s="146"/>
      <c r="AM13" s="100"/>
      <c r="AN13" s="122"/>
      <c r="AO13" s="122"/>
      <c r="AP13" s="122"/>
      <c r="AQ13" s="146"/>
    </row>
    <row r="14" spans="1:43" ht="19.5" customHeight="1">
      <c r="A14" s="201"/>
      <c r="B14" s="185"/>
      <c r="C14" s="106"/>
      <c r="D14" s="106"/>
      <c r="E14" s="186"/>
      <c r="F14" s="191"/>
      <c r="G14" s="122"/>
      <c r="H14" s="105"/>
      <c r="I14" s="143"/>
      <c r="J14" s="105"/>
      <c r="K14" s="146"/>
      <c r="L14" s="146"/>
      <c r="M14" s="100"/>
      <c r="N14" s="122"/>
      <c r="O14" s="105"/>
      <c r="P14" s="143"/>
      <c r="Q14" s="105"/>
      <c r="R14" s="146"/>
      <c r="S14" s="146"/>
      <c r="T14" s="100"/>
      <c r="U14" s="122"/>
      <c r="V14" s="105"/>
      <c r="W14" s="105"/>
      <c r="X14" s="226"/>
      <c r="Y14" s="146"/>
      <c r="Z14" s="146"/>
      <c r="AA14" s="100"/>
      <c r="AB14" s="122"/>
      <c r="AC14" s="105"/>
      <c r="AD14" s="105"/>
      <c r="AE14" s="143"/>
      <c r="AF14" s="146"/>
      <c r="AG14" s="139"/>
      <c r="AH14" s="100"/>
      <c r="AI14" s="122"/>
      <c r="AJ14" s="122"/>
      <c r="AK14" s="122"/>
      <c r="AL14" s="146"/>
      <c r="AM14" s="100"/>
      <c r="AN14" s="122"/>
      <c r="AO14" s="122"/>
      <c r="AP14" s="122"/>
      <c r="AQ14" s="146"/>
    </row>
    <row r="15" spans="1:43" ht="19.5" customHeight="1" thickBot="1">
      <c r="A15" s="202"/>
      <c r="B15" s="187"/>
      <c r="C15" s="188"/>
      <c r="D15" s="188"/>
      <c r="E15" s="189"/>
      <c r="F15" s="192"/>
      <c r="G15" s="123"/>
      <c r="H15" s="108"/>
      <c r="I15" s="144"/>
      <c r="J15" s="108"/>
      <c r="K15" s="147"/>
      <c r="L15" s="147"/>
      <c r="M15" s="101"/>
      <c r="N15" s="123"/>
      <c r="O15" s="108"/>
      <c r="P15" s="144"/>
      <c r="Q15" s="108"/>
      <c r="R15" s="147"/>
      <c r="S15" s="147"/>
      <c r="T15" s="101"/>
      <c r="U15" s="123"/>
      <c r="V15" s="108"/>
      <c r="W15" s="108"/>
      <c r="X15" s="227"/>
      <c r="Y15" s="147"/>
      <c r="Z15" s="147"/>
      <c r="AA15" s="101"/>
      <c r="AB15" s="123"/>
      <c r="AC15" s="108"/>
      <c r="AD15" s="108"/>
      <c r="AE15" s="144"/>
      <c r="AF15" s="147"/>
      <c r="AG15" s="140"/>
      <c r="AH15" s="101"/>
      <c r="AI15" s="123"/>
      <c r="AJ15" s="123"/>
      <c r="AK15" s="123"/>
      <c r="AL15" s="147"/>
      <c r="AM15" s="101"/>
      <c r="AN15" s="123"/>
      <c r="AO15" s="123"/>
      <c r="AP15" s="123"/>
      <c r="AQ15" s="147"/>
    </row>
    <row r="16" spans="1:43" ht="19.5" customHeight="1">
      <c r="A16" s="22">
        <v>1</v>
      </c>
      <c r="B16" s="197" t="s">
        <v>65</v>
      </c>
      <c r="C16" s="198"/>
      <c r="D16" s="198"/>
      <c r="E16" s="199"/>
      <c r="F16" s="8"/>
      <c r="G16" s="9"/>
      <c r="H16" s="9"/>
      <c r="I16" s="10"/>
      <c r="J16" s="11"/>
      <c r="K16" s="12" t="str">
        <f t="shared" ref="K16:K32" si="0">IF(F16=0,"",ROUND(AVERAGE(F16:J16),0))</f>
        <v/>
      </c>
      <c r="L16" s="14"/>
      <c r="M16" s="8"/>
      <c r="N16" s="9"/>
      <c r="O16" s="9"/>
      <c r="P16" s="10"/>
      <c r="Q16" s="11"/>
      <c r="R16" s="12" t="str">
        <f t="shared" ref="R16:R32" si="1">IF(M16=0,"",ROUND(AVERAGE(M16:Q16),0))</f>
        <v/>
      </c>
      <c r="S16" s="61"/>
      <c r="T16" s="8"/>
      <c r="U16" s="9"/>
      <c r="V16" s="9"/>
      <c r="W16" s="10"/>
      <c r="X16" s="11"/>
      <c r="Y16" s="12" t="str">
        <f t="shared" ref="Y16:Y32" si="2">IF(T16=0,"",ROUND(AVERAGE(T16:X16),0))</f>
        <v/>
      </c>
      <c r="Z16" s="62"/>
      <c r="AA16" s="15"/>
      <c r="AB16" s="16"/>
      <c r="AC16" s="16"/>
      <c r="AD16" s="17"/>
      <c r="AE16" s="18"/>
      <c r="AF16" s="12" t="str">
        <f t="shared" ref="AF16:AF32" si="3">IF(AA16=0,"",ROUND(AVERAGE(AA16:AE16),0))</f>
        <v/>
      </c>
      <c r="AG16" s="62"/>
      <c r="AH16" s="8" t="str">
        <f t="shared" ref="AH16:AH32" si="4">IF(K16=0,"",K16)</f>
        <v/>
      </c>
      <c r="AI16" s="9" t="str">
        <f t="shared" ref="AI16:AI32" si="5">IF(R16=0,"",R16)</f>
        <v/>
      </c>
      <c r="AJ16" s="9" t="str">
        <f t="shared" ref="AJ16:AJ32" si="6">IF(Y16=0,"",Y16)</f>
        <v/>
      </c>
      <c r="AK16" s="9" t="str">
        <f t="shared" ref="AK16:AK32" si="7">IF(AF16=0,"",AF16)</f>
        <v/>
      </c>
      <c r="AL16" s="12" t="str">
        <f t="shared" ref="AL16:AL32" si="8">IF(F16=0,"",ROUND(AVERAGE(AH16:AK16),0))</f>
        <v/>
      </c>
      <c r="AM16" s="8" t="str">
        <f t="shared" ref="AM16:AP16" si="9">IF(AH16=0,"",IF(AH16&lt;=10,"C",IF(AH16&lt;=13,"B",IF(AH16&lt;=17,"A",IF(AH16&lt;=20,"AD","")))))</f>
        <v/>
      </c>
      <c r="AN16" s="9" t="str">
        <f t="shared" si="9"/>
        <v/>
      </c>
      <c r="AO16" s="9" t="str">
        <f t="shared" si="9"/>
        <v/>
      </c>
      <c r="AP16" s="9" t="str">
        <f t="shared" si="9"/>
        <v/>
      </c>
      <c r="AQ16" s="20" t="str">
        <f t="shared" ref="AQ16:AQ32" si="10">IF(AL16=0,"",IF(AL16&lt;0,"Error",IF(AL16&lt;=10,"C",IF(AL16&lt;=13,"B",IF(AL16&lt;=17,"A",IF(AL16&lt;=20,"AD",""))))))</f>
        <v/>
      </c>
    </row>
    <row r="17" spans="1:43" ht="19.5" customHeight="1">
      <c r="A17" s="22">
        <v>2</v>
      </c>
      <c r="B17" s="194" t="s">
        <v>66</v>
      </c>
      <c r="C17" s="195" t="s">
        <v>66</v>
      </c>
      <c r="D17" s="195" t="s">
        <v>66</v>
      </c>
      <c r="E17" s="196" t="s">
        <v>66</v>
      </c>
      <c r="F17" s="23"/>
      <c r="G17" s="24"/>
      <c r="H17" s="24"/>
      <c r="I17" s="25"/>
      <c r="J17" s="26"/>
      <c r="K17" s="12" t="str">
        <f t="shared" si="0"/>
        <v/>
      </c>
      <c r="L17" s="21"/>
      <c r="M17" s="23"/>
      <c r="N17" s="24"/>
      <c r="O17" s="24"/>
      <c r="P17" s="25"/>
      <c r="Q17" s="26"/>
      <c r="R17" s="12" t="str">
        <f t="shared" si="1"/>
        <v/>
      </c>
      <c r="S17" s="13"/>
      <c r="T17" s="23"/>
      <c r="U17" s="24"/>
      <c r="V17" s="24"/>
      <c r="W17" s="25"/>
      <c r="X17" s="26"/>
      <c r="Y17" s="12" t="str">
        <f t="shared" si="2"/>
        <v/>
      </c>
      <c r="Z17" s="14"/>
      <c r="AA17" s="27"/>
      <c r="AB17" s="28"/>
      <c r="AC17" s="28"/>
      <c r="AD17" s="29"/>
      <c r="AE17" s="30"/>
      <c r="AF17" s="12" t="str">
        <f t="shared" si="3"/>
        <v/>
      </c>
      <c r="AG17" s="13"/>
      <c r="AH17" s="23" t="str">
        <f t="shared" si="4"/>
        <v/>
      </c>
      <c r="AI17" s="24" t="str">
        <f t="shared" si="5"/>
        <v/>
      </c>
      <c r="AJ17" s="24" t="str">
        <f t="shared" si="6"/>
        <v/>
      </c>
      <c r="AK17" s="24" t="str">
        <f t="shared" si="7"/>
        <v/>
      </c>
      <c r="AL17" s="31" t="str">
        <f t="shared" si="8"/>
        <v/>
      </c>
      <c r="AM17" s="8" t="str">
        <f t="shared" ref="AM17:AP17" si="11">IF(AH17=0,"",IF(AH17&lt;=10,"C",IF(AH17&lt;=13,"B",IF(AH17&lt;=17,"A",IF(AH17&lt;=20,"AD","")))))</f>
        <v/>
      </c>
      <c r="AN17" s="9" t="str">
        <f t="shared" si="11"/>
        <v/>
      </c>
      <c r="AO17" s="9" t="str">
        <f t="shared" si="11"/>
        <v/>
      </c>
      <c r="AP17" s="9" t="str">
        <f t="shared" si="11"/>
        <v/>
      </c>
      <c r="AQ17" s="20" t="str">
        <f t="shared" si="10"/>
        <v/>
      </c>
    </row>
    <row r="18" spans="1:43" ht="19.5" customHeight="1">
      <c r="A18" s="22">
        <v>3</v>
      </c>
      <c r="B18" s="194" t="s">
        <v>67</v>
      </c>
      <c r="C18" s="195" t="s">
        <v>67</v>
      </c>
      <c r="D18" s="195" t="s">
        <v>67</v>
      </c>
      <c r="E18" s="196" t="s">
        <v>67</v>
      </c>
      <c r="F18" s="23"/>
      <c r="G18" s="24"/>
      <c r="H18" s="24"/>
      <c r="I18" s="25"/>
      <c r="J18" s="26"/>
      <c r="K18" s="12" t="str">
        <f t="shared" si="0"/>
        <v/>
      </c>
      <c r="L18" s="13"/>
      <c r="M18" s="23"/>
      <c r="N18" s="24"/>
      <c r="O18" s="24"/>
      <c r="P18" s="25"/>
      <c r="Q18" s="26"/>
      <c r="R18" s="12" t="str">
        <f t="shared" si="1"/>
        <v/>
      </c>
      <c r="S18" s="13"/>
      <c r="T18" s="23"/>
      <c r="U18" s="24"/>
      <c r="V18" s="24"/>
      <c r="W18" s="25"/>
      <c r="X18" s="26"/>
      <c r="Y18" s="12" t="str">
        <f t="shared" si="2"/>
        <v/>
      </c>
      <c r="Z18" s="14"/>
      <c r="AA18" s="27"/>
      <c r="AB18" s="28"/>
      <c r="AC18" s="28"/>
      <c r="AD18" s="29"/>
      <c r="AE18" s="30"/>
      <c r="AF18" s="12" t="str">
        <f t="shared" si="3"/>
        <v/>
      </c>
      <c r="AG18" s="13"/>
      <c r="AH18" s="23" t="str">
        <f t="shared" si="4"/>
        <v/>
      </c>
      <c r="AI18" s="24" t="str">
        <f t="shared" si="5"/>
        <v/>
      </c>
      <c r="AJ18" s="24" t="str">
        <f t="shared" si="6"/>
        <v/>
      </c>
      <c r="AK18" s="24" t="str">
        <f t="shared" si="7"/>
        <v/>
      </c>
      <c r="AL18" s="31" t="str">
        <f t="shared" si="8"/>
        <v/>
      </c>
      <c r="AM18" s="8" t="str">
        <f t="shared" ref="AM18:AP18" si="12">IF(AH18=0,"",IF(AH18&lt;=10,"C",IF(AH18&lt;=13,"B",IF(AH18&lt;=17,"A",IF(AH18&lt;=20,"AD","")))))</f>
        <v/>
      </c>
      <c r="AN18" s="9" t="str">
        <f t="shared" si="12"/>
        <v/>
      </c>
      <c r="AO18" s="9" t="str">
        <f t="shared" si="12"/>
        <v/>
      </c>
      <c r="AP18" s="9" t="str">
        <f t="shared" si="12"/>
        <v/>
      </c>
      <c r="AQ18" s="20" t="str">
        <f t="shared" si="10"/>
        <v/>
      </c>
    </row>
    <row r="19" spans="1:43" ht="19.5" customHeight="1">
      <c r="A19" s="22">
        <v>4</v>
      </c>
      <c r="B19" s="194" t="s">
        <v>68</v>
      </c>
      <c r="C19" s="195" t="s">
        <v>68</v>
      </c>
      <c r="D19" s="195" t="s">
        <v>68</v>
      </c>
      <c r="E19" s="196" t="s">
        <v>68</v>
      </c>
      <c r="F19" s="23"/>
      <c r="G19" s="24"/>
      <c r="H19" s="24"/>
      <c r="I19" s="25"/>
      <c r="J19" s="26"/>
      <c r="K19" s="12" t="str">
        <f t="shared" si="0"/>
        <v/>
      </c>
      <c r="L19" s="13"/>
      <c r="M19" s="23"/>
      <c r="N19" s="24"/>
      <c r="O19" s="24"/>
      <c r="P19" s="25"/>
      <c r="Q19" s="26"/>
      <c r="R19" s="12" t="str">
        <f t="shared" si="1"/>
        <v/>
      </c>
      <c r="S19" s="21"/>
      <c r="T19" s="23"/>
      <c r="U19" s="24"/>
      <c r="V19" s="24"/>
      <c r="W19" s="25"/>
      <c r="X19" s="26"/>
      <c r="Y19" s="12" t="str">
        <f t="shared" si="2"/>
        <v/>
      </c>
      <c r="Z19" s="14"/>
      <c r="AA19" s="27"/>
      <c r="AB19" s="28"/>
      <c r="AC19" s="28"/>
      <c r="AD19" s="29"/>
      <c r="AE19" s="30"/>
      <c r="AF19" s="12" t="str">
        <f t="shared" si="3"/>
        <v/>
      </c>
      <c r="AG19" s="13"/>
      <c r="AH19" s="23" t="str">
        <f t="shared" si="4"/>
        <v/>
      </c>
      <c r="AI19" s="24" t="str">
        <f t="shared" si="5"/>
        <v/>
      </c>
      <c r="AJ19" s="24" t="str">
        <f t="shared" si="6"/>
        <v/>
      </c>
      <c r="AK19" s="24" t="str">
        <f t="shared" si="7"/>
        <v/>
      </c>
      <c r="AL19" s="31" t="str">
        <f t="shared" si="8"/>
        <v/>
      </c>
      <c r="AM19" s="8" t="str">
        <f t="shared" ref="AM19:AP19" si="13">IF(AH19=0,"",IF(AH19&lt;=10,"C",IF(AH19&lt;=13,"B",IF(AH19&lt;=17,"A",IF(AH19&lt;=20,"AD","")))))</f>
        <v/>
      </c>
      <c r="AN19" s="9" t="str">
        <f t="shared" si="13"/>
        <v/>
      </c>
      <c r="AO19" s="9" t="str">
        <f t="shared" si="13"/>
        <v/>
      </c>
      <c r="AP19" s="9" t="str">
        <f t="shared" si="13"/>
        <v/>
      </c>
      <c r="AQ19" s="20" t="str">
        <f t="shared" si="10"/>
        <v/>
      </c>
    </row>
    <row r="20" spans="1:43" ht="19.5" customHeight="1">
      <c r="A20" s="22">
        <v>5</v>
      </c>
      <c r="B20" s="194" t="s">
        <v>69</v>
      </c>
      <c r="C20" s="195" t="s">
        <v>69</v>
      </c>
      <c r="D20" s="195" t="s">
        <v>69</v>
      </c>
      <c r="E20" s="196" t="s">
        <v>69</v>
      </c>
      <c r="F20" s="23"/>
      <c r="G20" s="24"/>
      <c r="H20" s="24"/>
      <c r="I20" s="63"/>
      <c r="J20" s="26"/>
      <c r="K20" s="12" t="str">
        <f t="shared" si="0"/>
        <v/>
      </c>
      <c r="L20" s="64"/>
      <c r="M20" s="23"/>
      <c r="N20" s="24"/>
      <c r="O20" s="24"/>
      <c r="P20" s="63"/>
      <c r="Q20" s="26"/>
      <c r="R20" s="12" t="str">
        <f t="shared" si="1"/>
        <v/>
      </c>
      <c r="S20" s="64"/>
      <c r="T20" s="23"/>
      <c r="U20" s="24"/>
      <c r="V20" s="24"/>
      <c r="W20" s="63"/>
      <c r="X20" s="26"/>
      <c r="Y20" s="12" t="str">
        <f t="shared" si="2"/>
        <v/>
      </c>
      <c r="Z20" s="64"/>
      <c r="AA20" s="23"/>
      <c r="AB20" s="24"/>
      <c r="AC20" s="24"/>
      <c r="AD20" s="63"/>
      <c r="AE20" s="26"/>
      <c r="AF20" s="12" t="str">
        <f t="shared" si="3"/>
        <v/>
      </c>
      <c r="AG20" s="64"/>
      <c r="AH20" s="23" t="str">
        <f t="shared" si="4"/>
        <v/>
      </c>
      <c r="AI20" s="24" t="str">
        <f t="shared" si="5"/>
        <v/>
      </c>
      <c r="AJ20" s="24" t="str">
        <f t="shared" si="6"/>
        <v/>
      </c>
      <c r="AK20" s="24" t="str">
        <f t="shared" si="7"/>
        <v/>
      </c>
      <c r="AL20" s="31" t="str">
        <f t="shared" si="8"/>
        <v/>
      </c>
      <c r="AM20" s="8" t="str">
        <f t="shared" ref="AM20:AP20" si="14">IF(AH20=0,"",IF(AH20&lt;=10,"C",IF(AH20&lt;=13,"B",IF(AH20&lt;=17,"A",IF(AH20&lt;=20,"AD","")))))</f>
        <v/>
      </c>
      <c r="AN20" s="9" t="str">
        <f t="shared" si="14"/>
        <v/>
      </c>
      <c r="AO20" s="9" t="str">
        <f t="shared" si="14"/>
        <v/>
      </c>
      <c r="AP20" s="9" t="str">
        <f t="shared" si="14"/>
        <v/>
      </c>
      <c r="AQ20" s="20" t="str">
        <f t="shared" si="10"/>
        <v/>
      </c>
    </row>
    <row r="21" spans="1:43" ht="19.5" customHeight="1">
      <c r="A21" s="22">
        <v>6</v>
      </c>
      <c r="B21" s="194" t="s">
        <v>70</v>
      </c>
      <c r="C21" s="195" t="s">
        <v>70</v>
      </c>
      <c r="D21" s="195" t="s">
        <v>70</v>
      </c>
      <c r="E21" s="196" t="s">
        <v>70</v>
      </c>
      <c r="F21" s="23"/>
      <c r="G21" s="24"/>
      <c r="H21" s="24"/>
      <c r="I21" s="25"/>
      <c r="J21" s="26"/>
      <c r="K21" s="12" t="str">
        <f t="shared" si="0"/>
        <v/>
      </c>
      <c r="L21" s="13"/>
      <c r="M21" s="23"/>
      <c r="N21" s="24"/>
      <c r="O21" s="24"/>
      <c r="P21" s="25"/>
      <c r="Q21" s="26"/>
      <c r="R21" s="12" t="str">
        <f t="shared" si="1"/>
        <v/>
      </c>
      <c r="S21" s="14"/>
      <c r="T21" s="23"/>
      <c r="U21" s="24"/>
      <c r="V21" s="24"/>
      <c r="W21" s="25"/>
      <c r="X21" s="26"/>
      <c r="Y21" s="12" t="str">
        <f t="shared" si="2"/>
        <v/>
      </c>
      <c r="Z21" s="14"/>
      <c r="AA21" s="27"/>
      <c r="AB21" s="28"/>
      <c r="AC21" s="28"/>
      <c r="AD21" s="29"/>
      <c r="AE21" s="30"/>
      <c r="AF21" s="12" t="str">
        <f t="shared" si="3"/>
        <v/>
      </c>
      <c r="AG21" s="13"/>
      <c r="AH21" s="23" t="str">
        <f t="shared" si="4"/>
        <v/>
      </c>
      <c r="AI21" s="24" t="str">
        <f t="shared" si="5"/>
        <v/>
      </c>
      <c r="AJ21" s="24" t="str">
        <f t="shared" si="6"/>
        <v/>
      </c>
      <c r="AK21" s="24" t="str">
        <f t="shared" si="7"/>
        <v/>
      </c>
      <c r="AL21" s="31" t="str">
        <f t="shared" si="8"/>
        <v/>
      </c>
      <c r="AM21" s="8" t="str">
        <f t="shared" ref="AM21:AP21" si="15">IF(AH21=0,"",IF(AH21&lt;=10,"C",IF(AH21&lt;=13,"B",IF(AH21&lt;=17,"A",IF(AH21&lt;=20,"AD","")))))</f>
        <v/>
      </c>
      <c r="AN21" s="9" t="str">
        <f t="shared" si="15"/>
        <v/>
      </c>
      <c r="AO21" s="9" t="str">
        <f t="shared" si="15"/>
        <v/>
      </c>
      <c r="AP21" s="9" t="str">
        <f t="shared" si="15"/>
        <v/>
      </c>
      <c r="AQ21" s="20" t="str">
        <f t="shared" si="10"/>
        <v/>
      </c>
    </row>
    <row r="22" spans="1:43" ht="19.5" customHeight="1">
      <c r="A22" s="22">
        <v>7</v>
      </c>
      <c r="B22" s="194" t="s">
        <v>71</v>
      </c>
      <c r="C22" s="195" t="s">
        <v>71</v>
      </c>
      <c r="D22" s="195" t="s">
        <v>71</v>
      </c>
      <c r="E22" s="196" t="s">
        <v>71</v>
      </c>
      <c r="F22" s="23"/>
      <c r="G22" s="24"/>
      <c r="H22" s="24"/>
      <c r="I22" s="25"/>
      <c r="J22" s="26"/>
      <c r="K22" s="12" t="str">
        <f t="shared" si="0"/>
        <v/>
      </c>
      <c r="L22" s="14"/>
      <c r="M22" s="23"/>
      <c r="N22" s="24"/>
      <c r="O22" s="24"/>
      <c r="P22" s="25"/>
      <c r="Q22" s="26"/>
      <c r="R22" s="12" t="str">
        <f t="shared" si="1"/>
        <v/>
      </c>
      <c r="S22" s="14"/>
      <c r="T22" s="23"/>
      <c r="U22" s="24"/>
      <c r="V22" s="24"/>
      <c r="W22" s="25"/>
      <c r="X22" s="26"/>
      <c r="Y22" s="12" t="str">
        <f t="shared" si="2"/>
        <v/>
      </c>
      <c r="Z22" s="14"/>
      <c r="AA22" s="27"/>
      <c r="AB22" s="28"/>
      <c r="AC22" s="28"/>
      <c r="AD22" s="29"/>
      <c r="AE22" s="30"/>
      <c r="AF22" s="12" t="str">
        <f t="shared" si="3"/>
        <v/>
      </c>
      <c r="AG22" s="13"/>
      <c r="AH22" s="23" t="str">
        <f t="shared" si="4"/>
        <v/>
      </c>
      <c r="AI22" s="24" t="str">
        <f t="shared" si="5"/>
        <v/>
      </c>
      <c r="AJ22" s="24" t="str">
        <f t="shared" si="6"/>
        <v/>
      </c>
      <c r="AK22" s="24" t="str">
        <f t="shared" si="7"/>
        <v/>
      </c>
      <c r="AL22" s="31" t="str">
        <f t="shared" si="8"/>
        <v/>
      </c>
      <c r="AM22" s="8" t="str">
        <f t="shared" ref="AM22:AP22" si="16">IF(AH22=0,"",IF(AH22&lt;=10,"C",IF(AH22&lt;=13,"B",IF(AH22&lt;=17,"A",IF(AH22&lt;=20,"AD","")))))</f>
        <v/>
      </c>
      <c r="AN22" s="9" t="str">
        <f t="shared" si="16"/>
        <v/>
      </c>
      <c r="AO22" s="9" t="str">
        <f t="shared" si="16"/>
        <v/>
      </c>
      <c r="AP22" s="9" t="str">
        <f t="shared" si="16"/>
        <v/>
      </c>
      <c r="AQ22" s="20" t="str">
        <f t="shared" si="10"/>
        <v/>
      </c>
    </row>
    <row r="23" spans="1:43" ht="19.5" customHeight="1">
      <c r="A23" s="22">
        <v>8</v>
      </c>
      <c r="B23" s="194" t="s">
        <v>72</v>
      </c>
      <c r="C23" s="195" t="s">
        <v>72</v>
      </c>
      <c r="D23" s="195" t="s">
        <v>72</v>
      </c>
      <c r="E23" s="196" t="s">
        <v>72</v>
      </c>
      <c r="F23" s="23"/>
      <c r="G23" s="24"/>
      <c r="H23" s="24"/>
      <c r="I23" s="25"/>
      <c r="J23" s="26"/>
      <c r="K23" s="12" t="str">
        <f t="shared" si="0"/>
        <v/>
      </c>
      <c r="L23" s="14"/>
      <c r="M23" s="23"/>
      <c r="N23" s="24"/>
      <c r="O23" s="24"/>
      <c r="P23" s="25"/>
      <c r="Q23" s="26"/>
      <c r="R23" s="12" t="str">
        <f t="shared" si="1"/>
        <v/>
      </c>
      <c r="S23" s="14"/>
      <c r="T23" s="23"/>
      <c r="U23" s="24"/>
      <c r="V23" s="24"/>
      <c r="W23" s="25"/>
      <c r="X23" s="26"/>
      <c r="Y23" s="12" t="str">
        <f t="shared" si="2"/>
        <v/>
      </c>
      <c r="Z23" s="14"/>
      <c r="AA23" s="27"/>
      <c r="AB23" s="28"/>
      <c r="AC23" s="28"/>
      <c r="AD23" s="29"/>
      <c r="AE23" s="30"/>
      <c r="AF23" s="12" t="str">
        <f t="shared" si="3"/>
        <v/>
      </c>
      <c r="AG23" s="13"/>
      <c r="AH23" s="23" t="str">
        <f t="shared" si="4"/>
        <v/>
      </c>
      <c r="AI23" s="24" t="str">
        <f t="shared" si="5"/>
        <v/>
      </c>
      <c r="AJ23" s="24" t="str">
        <f t="shared" si="6"/>
        <v/>
      </c>
      <c r="AK23" s="24" t="str">
        <f t="shared" si="7"/>
        <v/>
      </c>
      <c r="AL23" s="31" t="str">
        <f t="shared" si="8"/>
        <v/>
      </c>
      <c r="AM23" s="8" t="str">
        <f t="shared" ref="AM23:AP23" si="17">IF(AH23=0,"",IF(AH23&lt;=10,"C",IF(AH23&lt;=13,"B",IF(AH23&lt;=17,"A",IF(AH23&lt;=20,"AD","")))))</f>
        <v/>
      </c>
      <c r="AN23" s="9" t="str">
        <f t="shared" si="17"/>
        <v/>
      </c>
      <c r="AO23" s="9" t="str">
        <f t="shared" si="17"/>
        <v/>
      </c>
      <c r="AP23" s="9" t="str">
        <f t="shared" si="17"/>
        <v/>
      </c>
      <c r="AQ23" s="20" t="str">
        <f t="shared" si="10"/>
        <v/>
      </c>
    </row>
    <row r="24" spans="1:43" ht="19.5" customHeight="1">
      <c r="A24" s="22">
        <v>9</v>
      </c>
      <c r="B24" s="194" t="s">
        <v>73</v>
      </c>
      <c r="C24" s="195" t="s">
        <v>73</v>
      </c>
      <c r="D24" s="195" t="s">
        <v>73</v>
      </c>
      <c r="E24" s="196" t="s">
        <v>73</v>
      </c>
      <c r="F24" s="23"/>
      <c r="G24" s="24"/>
      <c r="H24" s="24"/>
      <c r="I24" s="25"/>
      <c r="J24" s="26"/>
      <c r="K24" s="12" t="str">
        <f t="shared" si="0"/>
        <v/>
      </c>
      <c r="L24" s="21"/>
      <c r="M24" s="23"/>
      <c r="N24" s="24"/>
      <c r="O24" s="24"/>
      <c r="P24" s="25"/>
      <c r="Q24" s="26"/>
      <c r="R24" s="12" t="str">
        <f t="shared" si="1"/>
        <v/>
      </c>
      <c r="S24" s="14"/>
      <c r="T24" s="23"/>
      <c r="U24" s="24"/>
      <c r="V24" s="24"/>
      <c r="W24" s="25"/>
      <c r="X24" s="26"/>
      <c r="Y24" s="12" t="str">
        <f t="shared" si="2"/>
        <v/>
      </c>
      <c r="Z24" s="14"/>
      <c r="AA24" s="27"/>
      <c r="AB24" s="28"/>
      <c r="AC24" s="28"/>
      <c r="AD24" s="29"/>
      <c r="AE24" s="30"/>
      <c r="AF24" s="12" t="str">
        <f t="shared" si="3"/>
        <v/>
      </c>
      <c r="AG24" s="13"/>
      <c r="AH24" s="23" t="str">
        <f t="shared" si="4"/>
        <v/>
      </c>
      <c r="AI24" s="24" t="str">
        <f t="shared" si="5"/>
        <v/>
      </c>
      <c r="AJ24" s="24" t="str">
        <f t="shared" si="6"/>
        <v/>
      </c>
      <c r="AK24" s="24" t="str">
        <f t="shared" si="7"/>
        <v/>
      </c>
      <c r="AL24" s="31" t="str">
        <f t="shared" si="8"/>
        <v/>
      </c>
      <c r="AM24" s="8" t="str">
        <f t="shared" ref="AM24:AP24" si="18">IF(AH24=0,"",IF(AH24&lt;=10,"C",IF(AH24&lt;=13,"B",IF(AH24&lt;=17,"A",IF(AH24&lt;=20,"AD","")))))</f>
        <v/>
      </c>
      <c r="AN24" s="9" t="str">
        <f t="shared" si="18"/>
        <v/>
      </c>
      <c r="AO24" s="9" t="str">
        <f t="shared" si="18"/>
        <v/>
      </c>
      <c r="AP24" s="9" t="str">
        <f t="shared" si="18"/>
        <v/>
      </c>
      <c r="AQ24" s="20" t="str">
        <f t="shared" si="10"/>
        <v/>
      </c>
    </row>
    <row r="25" spans="1:43" ht="19.5" customHeight="1">
      <c r="A25" s="22">
        <v>10</v>
      </c>
      <c r="B25" s="194" t="s">
        <v>74</v>
      </c>
      <c r="C25" s="195" t="s">
        <v>74</v>
      </c>
      <c r="D25" s="195" t="s">
        <v>74</v>
      </c>
      <c r="E25" s="196" t="s">
        <v>74</v>
      </c>
      <c r="F25" s="23"/>
      <c r="G25" s="24"/>
      <c r="H25" s="24"/>
      <c r="I25" s="25"/>
      <c r="J25" s="26"/>
      <c r="K25" s="12" t="str">
        <f t="shared" si="0"/>
        <v/>
      </c>
      <c r="L25" s="13"/>
      <c r="M25" s="23"/>
      <c r="N25" s="24"/>
      <c r="O25" s="24"/>
      <c r="P25" s="25"/>
      <c r="Q25" s="26"/>
      <c r="R25" s="12" t="str">
        <f t="shared" si="1"/>
        <v/>
      </c>
      <c r="S25" s="65"/>
      <c r="T25" s="23"/>
      <c r="U25" s="24"/>
      <c r="V25" s="24"/>
      <c r="W25" s="25"/>
      <c r="X25" s="26"/>
      <c r="Y25" s="12" t="str">
        <f t="shared" si="2"/>
        <v/>
      </c>
      <c r="Z25" s="14"/>
      <c r="AA25" s="27"/>
      <c r="AB25" s="28"/>
      <c r="AC25" s="28"/>
      <c r="AD25" s="29"/>
      <c r="AE25" s="30"/>
      <c r="AF25" s="12" t="str">
        <f t="shared" si="3"/>
        <v/>
      </c>
      <c r="AG25" s="13"/>
      <c r="AH25" s="23" t="str">
        <f t="shared" si="4"/>
        <v/>
      </c>
      <c r="AI25" s="24" t="str">
        <f t="shared" si="5"/>
        <v/>
      </c>
      <c r="AJ25" s="24" t="str">
        <f t="shared" si="6"/>
        <v/>
      </c>
      <c r="AK25" s="24" t="str">
        <f t="shared" si="7"/>
        <v/>
      </c>
      <c r="AL25" s="31" t="str">
        <f t="shared" si="8"/>
        <v/>
      </c>
      <c r="AM25" s="8" t="str">
        <f t="shared" ref="AM25:AP25" si="19">IF(AH25=0,"",IF(AH25&lt;=10,"C",IF(AH25&lt;=13,"B",IF(AH25&lt;=17,"A",IF(AH25&lt;=20,"AD","")))))</f>
        <v/>
      </c>
      <c r="AN25" s="9" t="str">
        <f t="shared" si="19"/>
        <v/>
      </c>
      <c r="AO25" s="9" t="str">
        <f t="shared" si="19"/>
        <v/>
      </c>
      <c r="AP25" s="9" t="str">
        <f t="shared" si="19"/>
        <v/>
      </c>
      <c r="AQ25" s="20" t="str">
        <f t="shared" si="10"/>
        <v/>
      </c>
    </row>
    <row r="26" spans="1:43" ht="19.5" customHeight="1">
      <c r="A26" s="22">
        <v>11</v>
      </c>
      <c r="B26" s="194" t="s">
        <v>75</v>
      </c>
      <c r="C26" s="195" t="s">
        <v>75</v>
      </c>
      <c r="D26" s="195" t="s">
        <v>75</v>
      </c>
      <c r="E26" s="196" t="s">
        <v>75</v>
      </c>
      <c r="F26" s="23"/>
      <c r="G26" s="24"/>
      <c r="H26" s="24"/>
      <c r="I26" s="25"/>
      <c r="J26" s="26"/>
      <c r="K26" s="12" t="str">
        <f t="shared" si="0"/>
        <v/>
      </c>
      <c r="L26" s="13"/>
      <c r="M26" s="23"/>
      <c r="N26" s="24"/>
      <c r="O26" s="24"/>
      <c r="P26" s="25"/>
      <c r="Q26" s="26"/>
      <c r="R26" s="12" t="str">
        <f t="shared" si="1"/>
        <v/>
      </c>
      <c r="S26" s="13"/>
      <c r="T26" s="23"/>
      <c r="U26" s="24"/>
      <c r="V26" s="24"/>
      <c r="W26" s="25"/>
      <c r="X26" s="26"/>
      <c r="Y26" s="12" t="str">
        <f t="shared" si="2"/>
        <v/>
      </c>
      <c r="Z26" s="14"/>
      <c r="AA26" s="27"/>
      <c r="AB26" s="28"/>
      <c r="AC26" s="28"/>
      <c r="AD26" s="29"/>
      <c r="AE26" s="30"/>
      <c r="AF26" s="12" t="str">
        <f t="shared" si="3"/>
        <v/>
      </c>
      <c r="AG26" s="13"/>
      <c r="AH26" s="23" t="str">
        <f t="shared" si="4"/>
        <v/>
      </c>
      <c r="AI26" s="24" t="str">
        <f t="shared" si="5"/>
        <v/>
      </c>
      <c r="AJ26" s="24" t="str">
        <f t="shared" si="6"/>
        <v/>
      </c>
      <c r="AK26" s="24" t="str">
        <f t="shared" si="7"/>
        <v/>
      </c>
      <c r="AL26" s="31" t="str">
        <f t="shared" si="8"/>
        <v/>
      </c>
      <c r="AM26" s="8" t="str">
        <f t="shared" ref="AM26:AP26" si="20">IF(AH26=0,"",IF(AH26&lt;=10,"C",IF(AH26&lt;=13,"B",IF(AH26&lt;=17,"A",IF(AH26&lt;=20,"AD","")))))</f>
        <v/>
      </c>
      <c r="AN26" s="9" t="str">
        <f t="shared" si="20"/>
        <v/>
      </c>
      <c r="AO26" s="9" t="str">
        <f t="shared" si="20"/>
        <v/>
      </c>
      <c r="AP26" s="9" t="str">
        <f t="shared" si="20"/>
        <v/>
      </c>
      <c r="AQ26" s="20" t="str">
        <f t="shared" si="10"/>
        <v/>
      </c>
    </row>
    <row r="27" spans="1:43" ht="19.5" customHeight="1">
      <c r="A27" s="22">
        <v>12</v>
      </c>
      <c r="B27" s="194" t="s">
        <v>76</v>
      </c>
      <c r="C27" s="195" t="s">
        <v>76</v>
      </c>
      <c r="D27" s="195" t="s">
        <v>76</v>
      </c>
      <c r="E27" s="196" t="s">
        <v>76</v>
      </c>
      <c r="F27" s="23"/>
      <c r="G27" s="24"/>
      <c r="H27" s="24"/>
      <c r="I27" s="25"/>
      <c r="J27" s="26"/>
      <c r="K27" s="12" t="str">
        <f t="shared" si="0"/>
        <v/>
      </c>
      <c r="L27" s="13"/>
      <c r="M27" s="23"/>
      <c r="N27" s="24"/>
      <c r="O27" s="24"/>
      <c r="P27" s="25"/>
      <c r="Q27" s="26"/>
      <c r="R27" s="12" t="str">
        <f t="shared" si="1"/>
        <v/>
      </c>
      <c r="S27" s="13"/>
      <c r="T27" s="23"/>
      <c r="U27" s="24"/>
      <c r="V27" s="24"/>
      <c r="W27" s="25"/>
      <c r="X27" s="26"/>
      <c r="Y27" s="12" t="str">
        <f t="shared" si="2"/>
        <v/>
      </c>
      <c r="Z27" s="65"/>
      <c r="AA27" s="27"/>
      <c r="AB27" s="28"/>
      <c r="AC27" s="28"/>
      <c r="AD27" s="29"/>
      <c r="AE27" s="30"/>
      <c r="AF27" s="12" t="str">
        <f t="shared" si="3"/>
        <v/>
      </c>
      <c r="AG27" s="13"/>
      <c r="AH27" s="23" t="str">
        <f t="shared" si="4"/>
        <v/>
      </c>
      <c r="AI27" s="24" t="str">
        <f t="shared" si="5"/>
        <v/>
      </c>
      <c r="AJ27" s="24" t="str">
        <f t="shared" si="6"/>
        <v/>
      </c>
      <c r="AK27" s="24" t="str">
        <f t="shared" si="7"/>
        <v/>
      </c>
      <c r="AL27" s="31" t="str">
        <f t="shared" si="8"/>
        <v/>
      </c>
      <c r="AM27" s="8" t="str">
        <f t="shared" ref="AM27:AP27" si="21">IF(AH27=0,"",IF(AH27&lt;=10,"C",IF(AH27&lt;=13,"B",IF(AH27&lt;=17,"A",IF(AH27&lt;=20,"AD","")))))</f>
        <v/>
      </c>
      <c r="AN27" s="9" t="str">
        <f t="shared" si="21"/>
        <v/>
      </c>
      <c r="AO27" s="9" t="str">
        <f t="shared" si="21"/>
        <v/>
      </c>
      <c r="AP27" s="9" t="str">
        <f t="shared" si="21"/>
        <v/>
      </c>
      <c r="AQ27" s="20" t="str">
        <f t="shared" si="10"/>
        <v/>
      </c>
    </row>
    <row r="28" spans="1:43" ht="19.5" customHeight="1">
      <c r="A28" s="22">
        <v>13</v>
      </c>
      <c r="B28" s="194" t="s">
        <v>77</v>
      </c>
      <c r="C28" s="195" t="s">
        <v>77</v>
      </c>
      <c r="D28" s="195" t="s">
        <v>77</v>
      </c>
      <c r="E28" s="196" t="s">
        <v>77</v>
      </c>
      <c r="F28" s="23"/>
      <c r="G28" s="24"/>
      <c r="H28" s="24"/>
      <c r="I28" s="25"/>
      <c r="J28" s="26"/>
      <c r="K28" s="12" t="str">
        <f t="shared" si="0"/>
        <v/>
      </c>
      <c r="L28" s="13"/>
      <c r="M28" s="23"/>
      <c r="N28" s="24"/>
      <c r="O28" s="24"/>
      <c r="P28" s="25"/>
      <c r="Q28" s="26"/>
      <c r="R28" s="12" t="str">
        <f t="shared" si="1"/>
        <v/>
      </c>
      <c r="S28" s="13"/>
      <c r="T28" s="23"/>
      <c r="U28" s="24"/>
      <c r="V28" s="24"/>
      <c r="W28" s="25"/>
      <c r="X28" s="26"/>
      <c r="Y28" s="12" t="str">
        <f t="shared" si="2"/>
        <v/>
      </c>
      <c r="Z28" s="13"/>
      <c r="AA28" s="23"/>
      <c r="AB28" s="24"/>
      <c r="AC28" s="24"/>
      <c r="AD28" s="25"/>
      <c r="AE28" s="26"/>
      <c r="AF28" s="12" t="str">
        <f t="shared" si="3"/>
        <v/>
      </c>
      <c r="AG28" s="13"/>
      <c r="AH28" s="23" t="str">
        <f t="shared" si="4"/>
        <v/>
      </c>
      <c r="AI28" s="24" t="str">
        <f t="shared" si="5"/>
        <v/>
      </c>
      <c r="AJ28" s="24" t="str">
        <f t="shared" si="6"/>
        <v/>
      </c>
      <c r="AK28" s="24" t="str">
        <f t="shared" si="7"/>
        <v/>
      </c>
      <c r="AL28" s="31" t="str">
        <f t="shared" si="8"/>
        <v/>
      </c>
      <c r="AM28" s="8" t="str">
        <f t="shared" ref="AM28:AP28" si="22">IF(AH28=0,"",IF(AH28&lt;=10,"C",IF(AH28&lt;=13,"B",IF(AH28&lt;=17,"A",IF(AH28&lt;=20,"AD","")))))</f>
        <v/>
      </c>
      <c r="AN28" s="9" t="str">
        <f t="shared" si="22"/>
        <v/>
      </c>
      <c r="AO28" s="9" t="str">
        <f t="shared" si="22"/>
        <v/>
      </c>
      <c r="AP28" s="9" t="str">
        <f t="shared" si="22"/>
        <v/>
      </c>
      <c r="AQ28" s="20" t="str">
        <f t="shared" si="10"/>
        <v/>
      </c>
    </row>
    <row r="29" spans="1:43" ht="19.5" customHeight="1">
      <c r="A29" s="22">
        <v>14</v>
      </c>
      <c r="B29" s="194" t="s">
        <v>78</v>
      </c>
      <c r="C29" s="195" t="s">
        <v>78</v>
      </c>
      <c r="D29" s="195" t="s">
        <v>78</v>
      </c>
      <c r="E29" s="196" t="s">
        <v>78</v>
      </c>
      <c r="F29" s="23"/>
      <c r="G29" s="24"/>
      <c r="H29" s="24"/>
      <c r="I29" s="25"/>
      <c r="J29" s="26"/>
      <c r="K29" s="12" t="str">
        <f t="shared" si="0"/>
        <v/>
      </c>
      <c r="L29" s="13"/>
      <c r="M29" s="23"/>
      <c r="N29" s="24"/>
      <c r="O29" s="24"/>
      <c r="P29" s="25"/>
      <c r="Q29" s="26"/>
      <c r="R29" s="12" t="str">
        <f t="shared" si="1"/>
        <v/>
      </c>
      <c r="S29" s="13"/>
      <c r="T29" s="23"/>
      <c r="U29" s="24"/>
      <c r="V29" s="24"/>
      <c r="W29" s="25"/>
      <c r="X29" s="26"/>
      <c r="Y29" s="12" t="str">
        <f t="shared" si="2"/>
        <v/>
      </c>
      <c r="Z29" s="13"/>
      <c r="AA29" s="23"/>
      <c r="AB29" s="24"/>
      <c r="AC29" s="24"/>
      <c r="AD29" s="25"/>
      <c r="AE29" s="26"/>
      <c r="AF29" s="12" t="str">
        <f t="shared" si="3"/>
        <v/>
      </c>
      <c r="AG29" s="13"/>
      <c r="AH29" s="23" t="str">
        <f t="shared" si="4"/>
        <v/>
      </c>
      <c r="AI29" s="24" t="str">
        <f t="shared" si="5"/>
        <v/>
      </c>
      <c r="AJ29" s="24" t="str">
        <f t="shared" si="6"/>
        <v/>
      </c>
      <c r="AK29" s="24" t="str">
        <f t="shared" si="7"/>
        <v/>
      </c>
      <c r="AL29" s="31" t="str">
        <f t="shared" si="8"/>
        <v/>
      </c>
      <c r="AM29" s="8" t="str">
        <f t="shared" ref="AM29:AP29" si="23">IF(AH29=0,"",IF(AH29&lt;=10,"C",IF(AH29&lt;=13,"B",IF(AH29&lt;=17,"A",IF(AH29&lt;=20,"AD","")))))</f>
        <v/>
      </c>
      <c r="AN29" s="9" t="str">
        <f t="shared" si="23"/>
        <v/>
      </c>
      <c r="AO29" s="9" t="str">
        <f t="shared" si="23"/>
        <v/>
      </c>
      <c r="AP29" s="9" t="str">
        <f t="shared" si="23"/>
        <v/>
      </c>
      <c r="AQ29" s="20" t="str">
        <f t="shared" si="10"/>
        <v/>
      </c>
    </row>
    <row r="30" spans="1:43" ht="19.5" customHeight="1">
      <c r="A30" s="22">
        <v>15</v>
      </c>
      <c r="B30" s="194" t="s">
        <v>79</v>
      </c>
      <c r="C30" s="195" t="s">
        <v>79</v>
      </c>
      <c r="D30" s="195" t="s">
        <v>79</v>
      </c>
      <c r="E30" s="196" t="s">
        <v>79</v>
      </c>
      <c r="F30" s="23"/>
      <c r="G30" s="24"/>
      <c r="H30" s="24"/>
      <c r="I30" s="25"/>
      <c r="J30" s="26"/>
      <c r="K30" s="12" t="str">
        <f t="shared" si="0"/>
        <v/>
      </c>
      <c r="L30" s="13"/>
      <c r="M30" s="23"/>
      <c r="N30" s="24"/>
      <c r="O30" s="24"/>
      <c r="P30" s="25"/>
      <c r="Q30" s="26"/>
      <c r="R30" s="12" t="str">
        <f t="shared" si="1"/>
        <v/>
      </c>
      <c r="S30" s="61"/>
      <c r="T30" s="23"/>
      <c r="U30" s="24"/>
      <c r="V30" s="24"/>
      <c r="W30" s="25"/>
      <c r="X30" s="26"/>
      <c r="Y30" s="12" t="str">
        <f t="shared" si="2"/>
        <v/>
      </c>
      <c r="Z30" s="13"/>
      <c r="AA30" s="23"/>
      <c r="AB30" s="24"/>
      <c r="AC30" s="24"/>
      <c r="AD30" s="25"/>
      <c r="AE30" s="26"/>
      <c r="AF30" s="12" t="str">
        <f t="shared" si="3"/>
        <v/>
      </c>
      <c r="AG30" s="13"/>
      <c r="AH30" s="23" t="str">
        <f t="shared" si="4"/>
        <v/>
      </c>
      <c r="AI30" s="24" t="str">
        <f t="shared" si="5"/>
        <v/>
      </c>
      <c r="AJ30" s="24" t="str">
        <f t="shared" si="6"/>
        <v/>
      </c>
      <c r="AK30" s="24" t="str">
        <f t="shared" si="7"/>
        <v/>
      </c>
      <c r="AL30" s="31" t="str">
        <f t="shared" si="8"/>
        <v/>
      </c>
      <c r="AM30" s="8" t="str">
        <f t="shared" ref="AM30:AP30" si="24">IF(AH30=0,"",IF(AH30&lt;=10,"C",IF(AH30&lt;=13,"B",IF(AH30&lt;=17,"A",IF(AH30&lt;=20,"AD","")))))</f>
        <v/>
      </c>
      <c r="AN30" s="9" t="str">
        <f t="shared" si="24"/>
        <v/>
      </c>
      <c r="AO30" s="9" t="str">
        <f t="shared" si="24"/>
        <v/>
      </c>
      <c r="AP30" s="9" t="str">
        <f t="shared" si="24"/>
        <v/>
      </c>
      <c r="AQ30" s="20" t="str">
        <f t="shared" si="10"/>
        <v/>
      </c>
    </row>
    <row r="31" spans="1:43" ht="19.5" customHeight="1">
      <c r="A31" s="22">
        <v>16</v>
      </c>
      <c r="B31" s="194"/>
      <c r="C31" s="195"/>
      <c r="D31" s="195"/>
      <c r="E31" s="196"/>
      <c r="F31" s="23"/>
      <c r="G31" s="24"/>
      <c r="H31" s="24"/>
      <c r="I31" s="25"/>
      <c r="J31" s="26"/>
      <c r="K31" s="12" t="str">
        <f t="shared" si="0"/>
        <v/>
      </c>
      <c r="L31" s="13"/>
      <c r="M31" s="23"/>
      <c r="N31" s="24"/>
      <c r="O31" s="24"/>
      <c r="P31" s="25"/>
      <c r="Q31" s="26"/>
      <c r="R31" s="12" t="str">
        <f t="shared" si="1"/>
        <v/>
      </c>
      <c r="S31" s="13"/>
      <c r="T31" s="23"/>
      <c r="U31" s="24"/>
      <c r="V31" s="24"/>
      <c r="W31" s="25"/>
      <c r="X31" s="26"/>
      <c r="Y31" s="12" t="str">
        <f t="shared" si="2"/>
        <v/>
      </c>
      <c r="Z31" s="13"/>
      <c r="AA31" s="23"/>
      <c r="AB31" s="24"/>
      <c r="AC31" s="24"/>
      <c r="AD31" s="25"/>
      <c r="AE31" s="26"/>
      <c r="AF31" s="12" t="str">
        <f t="shared" si="3"/>
        <v/>
      </c>
      <c r="AG31" s="13"/>
      <c r="AH31" s="23" t="str">
        <f t="shared" si="4"/>
        <v/>
      </c>
      <c r="AI31" s="24" t="str">
        <f t="shared" si="5"/>
        <v/>
      </c>
      <c r="AJ31" s="24" t="str">
        <f t="shared" si="6"/>
        <v/>
      </c>
      <c r="AK31" s="24" t="str">
        <f t="shared" si="7"/>
        <v/>
      </c>
      <c r="AL31" s="31" t="str">
        <f t="shared" si="8"/>
        <v/>
      </c>
      <c r="AM31" s="8" t="str">
        <f t="shared" ref="AM31:AP31" si="25">IF(AH31=0,"",IF(AH31&lt;=10,"C",IF(AH31&lt;=13,"B",IF(AH31&lt;=17,"A",IF(AH31&lt;=20,"AD","")))))</f>
        <v/>
      </c>
      <c r="AN31" s="9" t="str">
        <f t="shared" si="25"/>
        <v/>
      </c>
      <c r="AO31" s="9" t="str">
        <f t="shared" si="25"/>
        <v/>
      </c>
      <c r="AP31" s="9" t="str">
        <f t="shared" si="25"/>
        <v/>
      </c>
      <c r="AQ31" s="20" t="str">
        <f t="shared" si="10"/>
        <v/>
      </c>
    </row>
    <row r="32" spans="1:43" ht="19.5" customHeight="1" thickBot="1">
      <c r="A32" s="32">
        <v>17</v>
      </c>
      <c r="B32" s="111"/>
      <c r="C32" s="112"/>
      <c r="D32" s="112"/>
      <c r="E32" s="113"/>
      <c r="F32" s="33"/>
      <c r="G32" s="34"/>
      <c r="H32" s="34"/>
      <c r="I32" s="35"/>
      <c r="J32" s="36"/>
      <c r="K32" s="12" t="str">
        <f t="shared" si="0"/>
        <v/>
      </c>
      <c r="L32" s="38"/>
      <c r="M32" s="33"/>
      <c r="N32" s="34"/>
      <c r="O32" s="34"/>
      <c r="P32" s="35"/>
      <c r="Q32" s="36"/>
      <c r="R32" s="12" t="str">
        <f t="shared" si="1"/>
        <v/>
      </c>
      <c r="S32" s="38"/>
      <c r="T32" s="33"/>
      <c r="U32" s="34"/>
      <c r="V32" s="34"/>
      <c r="W32" s="35"/>
      <c r="X32" s="36"/>
      <c r="Y32" s="12" t="str">
        <f t="shared" si="2"/>
        <v/>
      </c>
      <c r="Z32" s="38"/>
      <c r="AA32" s="33"/>
      <c r="AB32" s="34"/>
      <c r="AC32" s="34"/>
      <c r="AD32" s="35"/>
      <c r="AE32" s="36"/>
      <c r="AF32" s="12" t="str">
        <f t="shared" si="3"/>
        <v/>
      </c>
      <c r="AG32" s="38"/>
      <c r="AH32" s="33" t="str">
        <f t="shared" si="4"/>
        <v/>
      </c>
      <c r="AI32" s="34" t="str">
        <f t="shared" si="5"/>
        <v/>
      </c>
      <c r="AJ32" s="34" t="str">
        <f t="shared" si="6"/>
        <v/>
      </c>
      <c r="AK32" s="34" t="str">
        <f t="shared" si="7"/>
        <v/>
      </c>
      <c r="AL32" s="37" t="str">
        <f t="shared" si="8"/>
        <v/>
      </c>
      <c r="AM32" s="33" t="str">
        <f t="shared" ref="AM32:AP32" si="26">IF(AH32=0,"",IF(AH32&lt;=10,"C",IF(AH32&lt;=13,"B",IF(AH32&lt;=17,"A",IF(AH32&lt;=20,"AD","")))))</f>
        <v/>
      </c>
      <c r="AN32" s="34" t="str">
        <f t="shared" si="26"/>
        <v/>
      </c>
      <c r="AO32" s="34" t="str">
        <f t="shared" si="26"/>
        <v/>
      </c>
      <c r="AP32" s="34" t="str">
        <f t="shared" si="26"/>
        <v/>
      </c>
      <c r="AQ32" s="39" t="str">
        <f t="shared" si="10"/>
        <v/>
      </c>
    </row>
    <row r="33" spans="1:43" ht="15.75" customHeight="1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2"/>
    </row>
    <row r="34" spans="1:43" ht="19.5" customHeight="1">
      <c r="A34" s="40"/>
      <c r="B34" s="41"/>
      <c r="C34" s="41"/>
      <c r="D34" s="41"/>
      <c r="E34" s="43" t="s">
        <v>24</v>
      </c>
      <c r="F34" s="91">
        <f>SUM(AL16:AL32)</f>
        <v>0</v>
      </c>
      <c r="G34" s="92"/>
      <c r="H34" s="41"/>
      <c r="I34" s="41"/>
      <c r="J34" s="41"/>
      <c r="K34" s="168" t="s">
        <v>25</v>
      </c>
      <c r="L34" s="169"/>
      <c r="M34" s="169"/>
      <c r="N34" s="170"/>
      <c r="O34" s="171">
        <v>15</v>
      </c>
      <c r="P34" s="169"/>
      <c r="Q34" s="170"/>
      <c r="R34" s="172">
        <f>O34/O34</f>
        <v>1</v>
      </c>
      <c r="S34" s="169"/>
      <c r="T34" s="92"/>
      <c r="U34" s="41"/>
      <c r="V34" s="41"/>
      <c r="W34" s="173" t="s">
        <v>26</v>
      </c>
      <c r="X34" s="169"/>
      <c r="Y34" s="170"/>
      <c r="Z34" s="44"/>
      <c r="AA34" s="45" t="s">
        <v>27</v>
      </c>
      <c r="AB34" s="174" t="s">
        <v>28</v>
      </c>
      <c r="AC34" s="92"/>
      <c r="AD34" s="6"/>
      <c r="AE34" s="6"/>
      <c r="AF34" s="6"/>
      <c r="AG34" s="6"/>
      <c r="AH34" s="41"/>
      <c r="AI34" s="41"/>
      <c r="AJ34" s="41"/>
      <c r="AK34" s="41"/>
      <c r="AL34" s="41"/>
      <c r="AM34" s="41"/>
      <c r="AN34" s="41"/>
      <c r="AO34" s="41"/>
      <c r="AP34" s="41"/>
      <c r="AQ34" s="42"/>
    </row>
    <row r="35" spans="1:43" ht="19.5" customHeight="1">
      <c r="A35" s="40"/>
      <c r="B35" s="41"/>
      <c r="C35" s="41"/>
      <c r="D35" s="41"/>
      <c r="E35" s="46" t="s">
        <v>29</v>
      </c>
      <c r="F35" s="180">
        <f>MAX(AL16:AL32)</f>
        <v>0</v>
      </c>
      <c r="G35" s="160"/>
      <c r="H35" s="41"/>
      <c r="I35" s="41"/>
      <c r="J35" s="41"/>
      <c r="K35" s="178" t="s">
        <v>30</v>
      </c>
      <c r="L35" s="133"/>
      <c r="M35" s="133"/>
      <c r="N35" s="134"/>
      <c r="O35" s="132">
        <f>COUNTIF(AL16:AL32,"&gt;0")</f>
        <v>0</v>
      </c>
      <c r="P35" s="133"/>
      <c r="Q35" s="134"/>
      <c r="R35" s="179">
        <f>O35/O34</f>
        <v>0</v>
      </c>
      <c r="S35" s="133"/>
      <c r="T35" s="160"/>
      <c r="U35" s="41"/>
      <c r="V35" s="41"/>
      <c r="W35" s="47" t="s">
        <v>31</v>
      </c>
      <c r="X35" s="132" t="s">
        <v>32</v>
      </c>
      <c r="Y35" s="134"/>
      <c r="Z35" s="48"/>
      <c r="AA35" s="49">
        <f>COUNTIFS(AL16:AL32,"&lt;=20",AL16:AL32,"&gt;=18")</f>
        <v>0</v>
      </c>
      <c r="AB35" s="179" t="e">
        <f t="shared" ref="AB35:AB38" si="27">AA35/$O$35</f>
        <v>#DIV/0!</v>
      </c>
      <c r="AC35" s="160"/>
      <c r="AD35" s="3"/>
      <c r="AE35" s="3"/>
      <c r="AF35" s="3"/>
      <c r="AG35" s="3"/>
      <c r="AH35" s="41"/>
      <c r="AI35" s="41"/>
      <c r="AJ35" s="41"/>
      <c r="AK35" s="41"/>
      <c r="AL35" s="41"/>
      <c r="AM35" s="41"/>
      <c r="AN35" s="41"/>
      <c r="AO35" s="41"/>
      <c r="AP35" s="41"/>
      <c r="AQ35" s="42"/>
    </row>
    <row r="36" spans="1:43" ht="19.5" customHeight="1">
      <c r="A36" s="40"/>
      <c r="B36" s="41"/>
      <c r="C36" s="41"/>
      <c r="D36" s="41"/>
      <c r="E36" s="46" t="s">
        <v>33</v>
      </c>
      <c r="F36" s="132"/>
      <c r="G36" s="160"/>
      <c r="H36" s="41"/>
      <c r="I36" s="41"/>
      <c r="J36" s="41"/>
      <c r="K36" s="178" t="s">
        <v>34</v>
      </c>
      <c r="L36" s="133"/>
      <c r="M36" s="133"/>
      <c r="N36" s="134"/>
      <c r="O36" s="132">
        <f>O34-O35</f>
        <v>15</v>
      </c>
      <c r="P36" s="133"/>
      <c r="Q36" s="134"/>
      <c r="R36" s="179">
        <f t="shared" ref="R36:R37" si="28">O36/O34</f>
        <v>1</v>
      </c>
      <c r="S36" s="133"/>
      <c r="T36" s="160"/>
      <c r="U36" s="41"/>
      <c r="V36" s="41"/>
      <c r="W36" s="47" t="s">
        <v>35</v>
      </c>
      <c r="X36" s="132" t="s">
        <v>36</v>
      </c>
      <c r="Y36" s="134"/>
      <c r="Z36" s="48"/>
      <c r="AA36" s="49">
        <f>COUNTIFS(AL16:AL32,"&lt;=17",AL16:AL32,"&gt;=14")</f>
        <v>0</v>
      </c>
      <c r="AB36" s="179" t="e">
        <f t="shared" si="27"/>
        <v>#DIV/0!</v>
      </c>
      <c r="AC36" s="160"/>
      <c r="AD36" s="3"/>
      <c r="AE36" s="3"/>
      <c r="AF36" s="3"/>
      <c r="AG36" s="3"/>
      <c r="AH36" s="41"/>
      <c r="AI36" s="41"/>
      <c r="AJ36" s="41"/>
      <c r="AK36" s="41"/>
      <c r="AL36" s="41"/>
      <c r="AM36" s="41"/>
      <c r="AN36" s="41"/>
      <c r="AO36" s="41"/>
      <c r="AP36" s="41"/>
      <c r="AQ36" s="42"/>
    </row>
    <row r="37" spans="1:43" ht="19.5" customHeight="1">
      <c r="A37" s="40"/>
      <c r="B37" s="41"/>
      <c r="C37" s="41"/>
      <c r="D37" s="41"/>
      <c r="E37" s="50" t="s">
        <v>37</v>
      </c>
      <c r="F37" s="166"/>
      <c r="G37" s="113"/>
      <c r="H37" s="41"/>
      <c r="I37" s="41"/>
      <c r="J37" s="41"/>
      <c r="K37" s="178" t="s">
        <v>38</v>
      </c>
      <c r="L37" s="133"/>
      <c r="M37" s="133"/>
      <c r="N37" s="134"/>
      <c r="O37" s="132">
        <f>COUNTIF(AL16:AL32,"&gt;=11")</f>
        <v>0</v>
      </c>
      <c r="P37" s="133"/>
      <c r="Q37" s="134"/>
      <c r="R37" s="179" t="e">
        <f t="shared" si="28"/>
        <v>#DIV/0!</v>
      </c>
      <c r="S37" s="133"/>
      <c r="T37" s="160"/>
      <c r="U37" s="41"/>
      <c r="V37" s="41"/>
      <c r="W37" s="47" t="s">
        <v>39</v>
      </c>
      <c r="X37" s="132" t="s">
        <v>40</v>
      </c>
      <c r="Y37" s="134"/>
      <c r="Z37" s="48"/>
      <c r="AA37" s="49">
        <f>COUNTIFS(AL16:AL32,"&lt;=13",AL16:AL32,"&gt;=11")</f>
        <v>0</v>
      </c>
      <c r="AB37" s="179" t="e">
        <f t="shared" si="27"/>
        <v>#DIV/0!</v>
      </c>
      <c r="AC37" s="160"/>
      <c r="AD37" s="3"/>
      <c r="AE37" s="3"/>
      <c r="AF37" s="3"/>
      <c r="AG37" s="3"/>
      <c r="AH37" s="41"/>
      <c r="AI37" s="41"/>
      <c r="AJ37" s="41"/>
      <c r="AK37" s="41"/>
      <c r="AL37" s="41"/>
      <c r="AM37" s="41"/>
      <c r="AN37" s="41"/>
      <c r="AO37" s="41"/>
      <c r="AP37" s="41"/>
      <c r="AQ37" s="42"/>
    </row>
    <row r="38" spans="1:43" ht="19.5" customHeight="1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177" t="s">
        <v>41</v>
      </c>
      <c r="L38" s="112"/>
      <c r="M38" s="112"/>
      <c r="N38" s="128"/>
      <c r="O38" s="166">
        <f>O35-O37</f>
        <v>0</v>
      </c>
      <c r="P38" s="112"/>
      <c r="Q38" s="128"/>
      <c r="R38" s="167" t="e">
        <f>O38/O35</f>
        <v>#DIV/0!</v>
      </c>
      <c r="S38" s="112"/>
      <c r="T38" s="113"/>
      <c r="U38" s="41"/>
      <c r="V38" s="41"/>
      <c r="W38" s="51" t="s">
        <v>42</v>
      </c>
      <c r="X38" s="166" t="s">
        <v>43</v>
      </c>
      <c r="Y38" s="128"/>
      <c r="Z38" s="52"/>
      <c r="AA38" s="53">
        <f>COUNTIFS(AL16:AL32,"&lt;=10",AL16:AL32,"&gt;=0")</f>
        <v>0</v>
      </c>
      <c r="AB38" s="167" t="e">
        <f t="shared" si="27"/>
        <v>#DIV/0!</v>
      </c>
      <c r="AC38" s="113"/>
      <c r="AD38" s="3"/>
      <c r="AE38" s="3"/>
      <c r="AF38" s="3"/>
      <c r="AG38" s="3"/>
      <c r="AH38" s="41"/>
      <c r="AI38" s="41"/>
      <c r="AJ38" s="41"/>
      <c r="AK38" s="41"/>
      <c r="AL38" s="41"/>
      <c r="AM38" s="41"/>
      <c r="AN38" s="41"/>
      <c r="AO38" s="41"/>
      <c r="AP38" s="41"/>
      <c r="AQ38" s="42"/>
    </row>
    <row r="39" spans="1:43" ht="15.75" customHeight="1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2"/>
    </row>
    <row r="40" spans="1:43" ht="19.5" customHeight="1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175" t="s">
        <v>44</v>
      </c>
      <c r="AE40" s="106"/>
      <c r="AF40" s="176">
        <v>7</v>
      </c>
      <c r="AG40" s="126"/>
      <c r="AH40" s="55">
        <v>8</v>
      </c>
      <c r="AI40" s="56">
        <v>25</v>
      </c>
      <c r="AJ40" s="41"/>
      <c r="AK40" s="41"/>
      <c r="AL40" s="41"/>
      <c r="AM40" s="41"/>
      <c r="AN40" s="41"/>
      <c r="AO40" s="41"/>
      <c r="AP40" s="41"/>
      <c r="AQ40" s="42"/>
    </row>
    <row r="41" spans="1:43" ht="15.75" customHeight="1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2"/>
    </row>
    <row r="42" spans="1:43" ht="15.75" customHeight="1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2"/>
    </row>
    <row r="43" spans="1:43" ht="15.75" customHeight="1">
      <c r="A43" s="57"/>
      <c r="B43" s="58"/>
      <c r="C43" s="58"/>
      <c r="D43" s="58"/>
      <c r="E43" s="59" t="s">
        <v>45</v>
      </c>
      <c r="F43" s="58"/>
      <c r="G43" s="58"/>
      <c r="H43" s="58"/>
      <c r="I43" s="58"/>
      <c r="J43" s="58"/>
      <c r="K43" s="58"/>
      <c r="L43" s="58"/>
      <c r="M43" s="58"/>
      <c r="N43" s="165" t="s">
        <v>46</v>
      </c>
      <c r="O43" s="112"/>
      <c r="P43" s="112"/>
      <c r="Q43" s="112"/>
      <c r="R43" s="112"/>
      <c r="S43" s="112"/>
      <c r="T43" s="112"/>
      <c r="U43" s="112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60"/>
    </row>
    <row r="44" spans="1:43" ht="15.75" customHeight="1"/>
    <row r="45" spans="1:43" ht="15.75" customHeight="1">
      <c r="L45" t="s">
        <v>48</v>
      </c>
    </row>
    <row r="46" spans="1:43" ht="15.75" customHeight="1"/>
    <row r="47" spans="1:43" ht="15.75" customHeight="1"/>
    <row r="48" spans="1:4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11">
    <mergeCell ref="B19:E19"/>
    <mergeCell ref="B22:E22"/>
    <mergeCell ref="B23:E23"/>
    <mergeCell ref="F36:G36"/>
    <mergeCell ref="B32:E32"/>
    <mergeCell ref="AD40:AE40"/>
    <mergeCell ref="AF40:AG40"/>
    <mergeCell ref="O37:Q37"/>
    <mergeCell ref="K38:N38"/>
    <mergeCell ref="O38:Q38"/>
    <mergeCell ref="B29:E29"/>
    <mergeCell ref="B30:E30"/>
    <mergeCell ref="B31:E31"/>
    <mergeCell ref="B21:E21"/>
    <mergeCell ref="B26:E26"/>
    <mergeCell ref="B27:E27"/>
    <mergeCell ref="F34:G34"/>
    <mergeCell ref="K34:N34"/>
    <mergeCell ref="B28:E28"/>
    <mergeCell ref="N43:U43"/>
    <mergeCell ref="F37:G37"/>
    <mergeCell ref="R37:T37"/>
    <mergeCell ref="O34:Q34"/>
    <mergeCell ref="R38:T38"/>
    <mergeCell ref="R34:T34"/>
    <mergeCell ref="AB34:AC34"/>
    <mergeCell ref="AB35:AC35"/>
    <mergeCell ref="AB36:AC36"/>
    <mergeCell ref="AB37:AC37"/>
    <mergeCell ref="AB38:AC38"/>
    <mergeCell ref="X37:Y37"/>
    <mergeCell ref="X38:Y38"/>
    <mergeCell ref="W34:Y34"/>
    <mergeCell ref="X35:Y35"/>
    <mergeCell ref="X36:Y36"/>
    <mergeCell ref="K37:N37"/>
    <mergeCell ref="K36:N36"/>
    <mergeCell ref="O36:Q36"/>
    <mergeCell ref="R36:T36"/>
    <mergeCell ref="F35:G35"/>
    <mergeCell ref="K35:N35"/>
    <mergeCell ref="O35:Q35"/>
    <mergeCell ref="R35:T35"/>
    <mergeCell ref="B17:E17"/>
    <mergeCell ref="B18:E18"/>
    <mergeCell ref="B20:E20"/>
    <mergeCell ref="B16:E16"/>
    <mergeCell ref="B25:E25"/>
    <mergeCell ref="A5:A15"/>
    <mergeCell ref="F1:AQ2"/>
    <mergeCell ref="AK6:AK15"/>
    <mergeCell ref="S6:S15"/>
    <mergeCell ref="AA6:AF7"/>
    <mergeCell ref="H8:H15"/>
    <mergeCell ref="I8:I15"/>
    <mergeCell ref="J8:J15"/>
    <mergeCell ref="K8:K15"/>
    <mergeCell ref="M8:M15"/>
    <mergeCell ref="N8:N15"/>
    <mergeCell ref="O8:O15"/>
    <mergeCell ref="L6:L15"/>
    <mergeCell ref="AF8:AF15"/>
    <mergeCell ref="AG5:AG15"/>
    <mergeCell ref="M6:R7"/>
    <mergeCell ref="T6:Y7"/>
    <mergeCell ref="B24:E24"/>
    <mergeCell ref="AH4:AI4"/>
    <mergeCell ref="B5:E15"/>
    <mergeCell ref="G8:G15"/>
    <mergeCell ref="W4:AA4"/>
    <mergeCell ref="W8:W15"/>
    <mergeCell ref="X8:X15"/>
    <mergeCell ref="Y8:Y15"/>
    <mergeCell ref="AA8:AA15"/>
    <mergeCell ref="Z6:Z15"/>
    <mergeCell ref="AB4:AE4"/>
    <mergeCell ref="F8:F15"/>
    <mergeCell ref="AB8:AB15"/>
    <mergeCell ref="AC8:AC15"/>
    <mergeCell ref="P8:P15"/>
    <mergeCell ref="Q8:Q15"/>
    <mergeCell ref="R8:R15"/>
    <mergeCell ref="T8:T15"/>
    <mergeCell ref="U8:U15"/>
    <mergeCell ref="V8:V15"/>
    <mergeCell ref="A1:D4"/>
    <mergeCell ref="F3:H3"/>
    <mergeCell ref="I3:N3"/>
    <mergeCell ref="O3:Q3"/>
    <mergeCell ref="R3:V3"/>
    <mergeCell ref="W3:AA3"/>
    <mergeCell ref="AB3:AE3"/>
    <mergeCell ref="AH3:AI3"/>
    <mergeCell ref="AJ3:AQ3"/>
    <mergeCell ref="AM5:AP5"/>
    <mergeCell ref="AQ5:AQ15"/>
    <mergeCell ref="AP6:AP15"/>
    <mergeCell ref="AD8:AD15"/>
    <mergeCell ref="AE8:AE15"/>
    <mergeCell ref="AJ4:AQ4"/>
    <mergeCell ref="AL5:AL15"/>
    <mergeCell ref="AM6:AM15"/>
    <mergeCell ref="AI6:AI15"/>
    <mergeCell ref="AJ6:AJ15"/>
    <mergeCell ref="AN6:AN15"/>
    <mergeCell ref="AO6:AO15"/>
    <mergeCell ref="F5:AF5"/>
    <mergeCell ref="AH5:AK5"/>
    <mergeCell ref="I4:V4"/>
    <mergeCell ref="F6:K7"/>
    <mergeCell ref="AH6:AH15"/>
  </mergeCells>
  <conditionalFormatting sqref="K16:K27 Y16:Y27 F28:K32 R16:R31 T28:Y32 AH16:AL32 M28:M31 M32:R32 AA28:AE32 AF16:AF32">
    <cfRule type="cellIs" dxfId="165" priority="1" operator="equal">
      <formula>10.5</formula>
    </cfRule>
  </conditionalFormatting>
  <conditionalFormatting sqref="K16:K27 Y16:Y27 F28:K32 R16:R31 T28:Y32 AH16:AL32 M28:M31 M32:R32 AA28:AE32 AF16:AF32">
    <cfRule type="cellIs" dxfId="164" priority="2" operator="lessThan">
      <formula>0</formula>
    </cfRule>
  </conditionalFormatting>
  <conditionalFormatting sqref="K16:K27 Y16:Y27 F28:K32 R16:R31 T28:Y32 AH16:AL32 M28:M31 M32:R32 AA28:AE32 AF16:AF32">
    <cfRule type="cellIs" dxfId="163" priority="3" operator="lessThan">
      <formula>10.5</formula>
    </cfRule>
  </conditionalFormatting>
  <conditionalFormatting sqref="K16:K27 Y16:Y27 F28:K32 R16:R31 T28:Y32 AH16:AL32 M28:M31 M32:R32 AA28:AE32 AF16:AF32">
    <cfRule type="cellIs" dxfId="162" priority="4" operator="greaterThan">
      <formula>20</formula>
    </cfRule>
  </conditionalFormatting>
  <conditionalFormatting sqref="K16:K27 Y16:Y27 F28:K32 R16:R31 T28:Y32 AH16:AL32 M28:M31 M32:R32 AA28:AE32 AF16:AF32">
    <cfRule type="cellIs" dxfId="161" priority="5" operator="greaterThan">
      <formula>10.5</formula>
    </cfRule>
  </conditionalFormatting>
  <conditionalFormatting sqref="N28:Q31">
    <cfRule type="cellIs" dxfId="160" priority="21" operator="equal">
      <formula>10.5</formula>
    </cfRule>
  </conditionalFormatting>
  <conditionalFormatting sqref="N28:Q31">
    <cfRule type="cellIs" dxfId="159" priority="22" operator="lessThan">
      <formula>0</formula>
    </cfRule>
  </conditionalFormatting>
  <conditionalFormatting sqref="N28:Q31">
    <cfRule type="cellIs" dxfId="158" priority="23" operator="lessThan">
      <formula>10.5</formula>
    </cfRule>
  </conditionalFormatting>
  <conditionalFormatting sqref="N28:Q31">
    <cfRule type="cellIs" dxfId="157" priority="24" operator="greaterThan">
      <formula>20</formula>
    </cfRule>
  </conditionalFormatting>
  <conditionalFormatting sqref="N28:Q31">
    <cfRule type="cellIs" dxfId="156" priority="25" operator="greaterThan">
      <formula>10.5</formula>
    </cfRule>
  </conditionalFormatting>
  <conditionalFormatting sqref="AM16:AQ32">
    <cfRule type="cellIs" dxfId="155" priority="26" operator="equal">
      <formula>"C"</formula>
    </cfRule>
  </conditionalFormatting>
  <conditionalFormatting sqref="AM16:AQ32">
    <cfRule type="cellIs" dxfId="154" priority="27" operator="equal">
      <formula>"B"</formula>
    </cfRule>
  </conditionalFormatting>
  <conditionalFormatting sqref="AM16:AQ32">
    <cfRule type="cellIs" dxfId="153" priority="28" operator="equal">
      <formula>"A"</formula>
    </cfRule>
  </conditionalFormatting>
  <conditionalFormatting sqref="AM16:AQ32">
    <cfRule type="cellIs" dxfId="152" priority="29" operator="equal">
      <formula>"AD"</formula>
    </cfRule>
  </conditionalFormatting>
  <conditionalFormatting sqref="F16:J27">
    <cfRule type="cellIs" dxfId="151" priority="40" operator="equal">
      <formula>10.5</formula>
    </cfRule>
  </conditionalFormatting>
  <conditionalFormatting sqref="F16:J27">
    <cfRule type="cellIs" dxfId="150" priority="41" operator="lessThan">
      <formula>0</formula>
    </cfRule>
  </conditionalFormatting>
  <conditionalFormatting sqref="F16:J27">
    <cfRule type="cellIs" dxfId="149" priority="42" operator="lessThan">
      <formula>10.5</formula>
    </cfRule>
  </conditionalFormatting>
  <conditionalFormatting sqref="F16:J27">
    <cfRule type="cellIs" dxfId="148" priority="43" operator="greaterThan">
      <formula>20</formula>
    </cfRule>
  </conditionalFormatting>
  <conditionalFormatting sqref="F16:J27">
    <cfRule type="cellIs" dxfId="147" priority="44" operator="greaterThan">
      <formula>10.5</formula>
    </cfRule>
  </conditionalFormatting>
  <conditionalFormatting sqref="M16:M27">
    <cfRule type="cellIs" dxfId="146" priority="45" operator="equal">
      <formula>10.5</formula>
    </cfRule>
  </conditionalFormatting>
  <conditionalFormatting sqref="M16:M27">
    <cfRule type="cellIs" dxfId="145" priority="46" operator="lessThan">
      <formula>0</formula>
    </cfRule>
  </conditionalFormatting>
  <conditionalFormatting sqref="M16:M27">
    <cfRule type="cellIs" dxfId="144" priority="47" operator="lessThan">
      <formula>10.5</formula>
    </cfRule>
  </conditionalFormatting>
  <conditionalFormatting sqref="M16:M27">
    <cfRule type="cellIs" dxfId="143" priority="48" operator="greaterThan">
      <formula>20</formula>
    </cfRule>
  </conditionalFormatting>
  <conditionalFormatting sqref="M16:M27">
    <cfRule type="cellIs" dxfId="142" priority="49" operator="greaterThan">
      <formula>10.5</formula>
    </cfRule>
  </conditionalFormatting>
  <conditionalFormatting sqref="N16:Q27">
    <cfRule type="cellIs" dxfId="141" priority="50" operator="equal">
      <formula>10.5</formula>
    </cfRule>
  </conditionalFormatting>
  <conditionalFormatting sqref="N16:Q27">
    <cfRule type="cellIs" dxfId="140" priority="51" operator="lessThan">
      <formula>0</formula>
    </cfRule>
  </conditionalFormatting>
  <conditionalFormatting sqref="N16:Q27">
    <cfRule type="cellIs" dxfId="139" priority="52" operator="lessThan">
      <formula>10.5</formula>
    </cfRule>
  </conditionalFormatting>
  <conditionalFormatting sqref="N16:Q27">
    <cfRule type="cellIs" dxfId="138" priority="53" operator="greaterThan">
      <formula>20</formula>
    </cfRule>
  </conditionalFormatting>
  <conditionalFormatting sqref="N16:Q27">
    <cfRule type="cellIs" dxfId="137" priority="54" operator="greaterThan">
      <formula>10.5</formula>
    </cfRule>
  </conditionalFormatting>
  <conditionalFormatting sqref="T16:X27">
    <cfRule type="cellIs" dxfId="136" priority="55" operator="equal">
      <formula>10.5</formula>
    </cfRule>
  </conditionalFormatting>
  <conditionalFormatting sqref="T16:X27">
    <cfRule type="cellIs" dxfId="135" priority="56" operator="lessThan">
      <formula>0</formula>
    </cfRule>
  </conditionalFormatting>
  <conditionalFormatting sqref="T16:X27">
    <cfRule type="cellIs" dxfId="134" priority="57" operator="lessThan">
      <formula>10.5</formula>
    </cfRule>
  </conditionalFormatting>
  <conditionalFormatting sqref="T16:X27">
    <cfRule type="cellIs" dxfId="133" priority="58" operator="greaterThan">
      <formula>20</formula>
    </cfRule>
  </conditionalFormatting>
  <conditionalFormatting sqref="T16:X27">
    <cfRule type="cellIs" dxfId="132" priority="59" operator="greaterThan">
      <formula>10.5</formula>
    </cfRule>
  </conditionalFormatting>
  <conditionalFormatting sqref="AA20:AE20">
    <cfRule type="cellIs" dxfId="131" priority="60" operator="equal">
      <formula>10.5</formula>
    </cfRule>
  </conditionalFormatting>
  <conditionalFormatting sqref="AA20:AE20">
    <cfRule type="cellIs" dxfId="130" priority="61" operator="lessThan">
      <formula>0</formula>
    </cfRule>
  </conditionalFormatting>
  <conditionalFormatting sqref="AA20:AE20">
    <cfRule type="cellIs" dxfId="129" priority="62" operator="lessThan">
      <formula>10.5</formula>
    </cfRule>
  </conditionalFormatting>
  <conditionalFormatting sqref="AA20:AE20">
    <cfRule type="cellIs" dxfId="128" priority="63" operator="greaterThan">
      <formula>20</formula>
    </cfRule>
  </conditionalFormatting>
  <conditionalFormatting sqref="AA20:AE20">
    <cfRule type="cellIs" dxfId="127" priority="64" operator="greaterThan">
      <formula>10.5</formula>
    </cfRule>
  </conditionalFormatting>
  <conditionalFormatting sqref="AA16:AE19 AA21:AE27">
    <cfRule type="cellIs" dxfId="126" priority="65" operator="equal">
      <formula>10.5</formula>
    </cfRule>
  </conditionalFormatting>
  <conditionalFormatting sqref="AA16:AE19 AA21:AE27">
    <cfRule type="cellIs" dxfId="125" priority="66" operator="lessThan">
      <formula>0</formula>
    </cfRule>
  </conditionalFormatting>
  <conditionalFormatting sqref="AA16:AE19 AA21:AE27">
    <cfRule type="cellIs" dxfId="124" priority="67" operator="lessThan">
      <formula>10.5</formula>
    </cfRule>
  </conditionalFormatting>
  <conditionalFormatting sqref="AA16:AE19 AA21:AE27">
    <cfRule type="cellIs" dxfId="123" priority="68" operator="greaterThan">
      <formula>20</formula>
    </cfRule>
  </conditionalFormatting>
  <conditionalFormatting sqref="AA16:AE19 AA21:AE27">
    <cfRule type="cellIs" dxfId="122" priority="69" operator="greaterThan">
      <formula>10.5</formula>
    </cfRule>
  </conditionalFormatting>
  <printOptions horizontalCentered="1" verticalCentered="1"/>
  <pageMargins left="0" right="0" top="0" bottom="0" header="0" footer="0"/>
  <pageSetup paperSize="9" scale="5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95"/>
  <sheetViews>
    <sheetView topLeftCell="K1" workbookViewId="0">
      <selection activeCell="X8" sqref="X8:X15"/>
    </sheetView>
  </sheetViews>
  <sheetFormatPr baseColWidth="10" defaultColWidth="14.42578125" defaultRowHeight="15" customHeight="1"/>
  <cols>
    <col min="1" max="4" width="3.5703125" customWidth="1"/>
    <col min="5" max="5" width="37.85546875" customWidth="1"/>
    <col min="6" max="10" width="4.7109375" customWidth="1"/>
    <col min="11" max="11" width="6.7109375" customWidth="1"/>
    <col min="12" max="12" width="36.85546875" customWidth="1"/>
    <col min="13" max="17" width="4.7109375" customWidth="1"/>
    <col min="18" max="18" width="6.7109375" customWidth="1"/>
    <col min="19" max="19" width="36.85546875" customWidth="1"/>
    <col min="20" max="24" width="4.7109375" customWidth="1"/>
    <col min="25" max="25" width="6.7109375" customWidth="1"/>
    <col min="26" max="26" width="36.85546875" customWidth="1"/>
    <col min="27" max="31" width="4.7109375" customWidth="1"/>
    <col min="32" max="32" width="5.42578125" customWidth="1"/>
    <col min="33" max="33" width="38.42578125" customWidth="1"/>
    <col min="34" max="43" width="6.7109375" customWidth="1"/>
    <col min="44" max="44" width="10.7109375" customWidth="1"/>
  </cols>
  <sheetData>
    <row r="1" spans="1:43" ht="24.75" customHeight="1">
      <c r="A1" s="117"/>
      <c r="B1" s="103"/>
      <c r="C1" s="103"/>
      <c r="D1" s="103"/>
      <c r="E1" s="1" t="s">
        <v>0</v>
      </c>
      <c r="F1" s="130" t="s">
        <v>106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4"/>
    </row>
    <row r="2" spans="1:43" ht="24.75" customHeight="1">
      <c r="A2" s="118"/>
      <c r="B2" s="106"/>
      <c r="C2" s="106"/>
      <c r="D2" s="106"/>
      <c r="E2" s="2" t="s">
        <v>1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7"/>
    </row>
    <row r="3" spans="1:43" ht="19.5" customHeight="1">
      <c r="A3" s="118"/>
      <c r="B3" s="106"/>
      <c r="C3" s="106"/>
      <c r="D3" s="106"/>
      <c r="E3" s="2" t="s">
        <v>2</v>
      </c>
      <c r="F3" s="131" t="s">
        <v>3</v>
      </c>
      <c r="G3" s="106"/>
      <c r="H3" s="106"/>
      <c r="I3" s="132" t="s">
        <v>4</v>
      </c>
      <c r="J3" s="133"/>
      <c r="K3" s="133"/>
      <c r="L3" s="133"/>
      <c r="M3" s="133"/>
      <c r="N3" s="134"/>
      <c r="O3" s="135" t="s">
        <v>5</v>
      </c>
      <c r="P3" s="136"/>
      <c r="Q3" s="137"/>
      <c r="R3" s="132" t="s">
        <v>49</v>
      </c>
      <c r="S3" s="133"/>
      <c r="T3" s="133"/>
      <c r="U3" s="133"/>
      <c r="V3" s="134"/>
      <c r="W3" s="131" t="s">
        <v>7</v>
      </c>
      <c r="X3" s="106"/>
      <c r="Y3" s="106"/>
      <c r="Z3" s="106"/>
      <c r="AA3" s="106"/>
      <c r="AB3" s="132" t="s">
        <v>8</v>
      </c>
      <c r="AC3" s="133"/>
      <c r="AD3" s="133"/>
      <c r="AE3" s="134"/>
      <c r="AF3" s="3"/>
      <c r="AG3" s="3"/>
      <c r="AH3" s="131" t="s">
        <v>9</v>
      </c>
      <c r="AI3" s="106"/>
      <c r="AJ3" s="159"/>
      <c r="AK3" s="133"/>
      <c r="AL3" s="133"/>
      <c r="AM3" s="133"/>
      <c r="AN3" s="133"/>
      <c r="AO3" s="133"/>
      <c r="AP3" s="133"/>
      <c r="AQ3" s="160"/>
    </row>
    <row r="4" spans="1:43" ht="19.5" customHeight="1" thickBot="1">
      <c r="A4" s="119"/>
      <c r="B4" s="109"/>
      <c r="C4" s="109"/>
      <c r="D4" s="109"/>
      <c r="E4" s="4" t="s">
        <v>10</v>
      </c>
      <c r="F4" s="5" t="s">
        <v>11</v>
      </c>
      <c r="G4" s="5"/>
      <c r="H4" s="5"/>
      <c r="I4" s="127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28"/>
      <c r="W4" s="129" t="s">
        <v>13</v>
      </c>
      <c r="X4" s="109"/>
      <c r="Y4" s="109"/>
      <c r="Z4" s="109"/>
      <c r="AA4" s="109"/>
      <c r="AB4" s="127" t="s">
        <v>12</v>
      </c>
      <c r="AC4" s="112"/>
      <c r="AD4" s="112"/>
      <c r="AE4" s="128"/>
      <c r="AF4" s="6"/>
      <c r="AG4" s="6"/>
      <c r="AH4" s="129" t="s">
        <v>14</v>
      </c>
      <c r="AI4" s="109"/>
      <c r="AJ4" s="127"/>
      <c r="AK4" s="112"/>
      <c r="AL4" s="112"/>
      <c r="AM4" s="112"/>
      <c r="AN4" s="112"/>
      <c r="AO4" s="112"/>
      <c r="AP4" s="112"/>
      <c r="AQ4" s="113"/>
    </row>
    <row r="5" spans="1:43" ht="19.5" customHeight="1" thickBot="1">
      <c r="A5" s="99" t="s">
        <v>15</v>
      </c>
      <c r="B5" s="102" t="s">
        <v>16</v>
      </c>
      <c r="C5" s="103"/>
      <c r="D5" s="103"/>
      <c r="E5" s="104"/>
      <c r="F5" s="124" t="s">
        <v>17</v>
      </c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6"/>
      <c r="AG5" s="138" t="s">
        <v>18</v>
      </c>
      <c r="AH5" s="162" t="s">
        <v>19</v>
      </c>
      <c r="AI5" s="125"/>
      <c r="AJ5" s="125"/>
      <c r="AK5" s="163"/>
      <c r="AL5" s="145" t="s">
        <v>20</v>
      </c>
      <c r="AM5" s="162" t="s">
        <v>21</v>
      </c>
      <c r="AN5" s="125"/>
      <c r="AO5" s="125"/>
      <c r="AP5" s="163"/>
      <c r="AQ5" s="145" t="s">
        <v>22</v>
      </c>
    </row>
    <row r="6" spans="1:43" ht="19.5" customHeight="1">
      <c r="A6" s="100"/>
      <c r="B6" s="105"/>
      <c r="C6" s="106"/>
      <c r="D6" s="106"/>
      <c r="E6" s="107"/>
      <c r="F6" s="148"/>
      <c r="G6" s="149"/>
      <c r="H6" s="149"/>
      <c r="I6" s="149"/>
      <c r="J6" s="149"/>
      <c r="K6" s="150"/>
      <c r="L6" s="157" t="s">
        <v>18</v>
      </c>
      <c r="M6" s="148"/>
      <c r="N6" s="149"/>
      <c r="O6" s="149"/>
      <c r="P6" s="149"/>
      <c r="Q6" s="149"/>
      <c r="R6" s="150"/>
      <c r="S6" s="157" t="s">
        <v>18</v>
      </c>
      <c r="T6" s="148"/>
      <c r="U6" s="149"/>
      <c r="V6" s="149"/>
      <c r="W6" s="149"/>
      <c r="X6" s="149"/>
      <c r="Y6" s="150"/>
      <c r="Z6" s="157" t="s">
        <v>18</v>
      </c>
      <c r="AA6" s="148"/>
      <c r="AB6" s="149"/>
      <c r="AC6" s="149"/>
      <c r="AD6" s="149"/>
      <c r="AE6" s="149"/>
      <c r="AF6" s="150"/>
      <c r="AG6" s="139"/>
      <c r="AH6" s="164"/>
      <c r="AI6" s="158"/>
      <c r="AJ6" s="158"/>
      <c r="AK6" s="161"/>
      <c r="AL6" s="146"/>
      <c r="AM6" s="164"/>
      <c r="AN6" s="158"/>
      <c r="AO6" s="158"/>
      <c r="AP6" s="161"/>
      <c r="AQ6" s="146"/>
    </row>
    <row r="7" spans="1:43" ht="57" customHeight="1" thickBot="1">
      <c r="A7" s="100"/>
      <c r="B7" s="105"/>
      <c r="C7" s="106"/>
      <c r="D7" s="106"/>
      <c r="E7" s="107"/>
      <c r="F7" s="151"/>
      <c r="G7" s="152"/>
      <c r="H7" s="152"/>
      <c r="I7" s="152"/>
      <c r="J7" s="152"/>
      <c r="K7" s="140"/>
      <c r="L7" s="146"/>
      <c r="M7" s="151"/>
      <c r="N7" s="152"/>
      <c r="O7" s="152"/>
      <c r="P7" s="152"/>
      <c r="Q7" s="152"/>
      <c r="R7" s="140"/>
      <c r="S7" s="146"/>
      <c r="T7" s="151"/>
      <c r="U7" s="152"/>
      <c r="V7" s="152"/>
      <c r="W7" s="152"/>
      <c r="X7" s="152"/>
      <c r="Y7" s="140"/>
      <c r="Z7" s="146"/>
      <c r="AA7" s="151"/>
      <c r="AB7" s="152"/>
      <c r="AC7" s="152"/>
      <c r="AD7" s="152"/>
      <c r="AE7" s="152"/>
      <c r="AF7" s="140"/>
      <c r="AG7" s="139"/>
      <c r="AH7" s="100"/>
      <c r="AI7" s="122"/>
      <c r="AJ7" s="122"/>
      <c r="AK7" s="122"/>
      <c r="AL7" s="146"/>
      <c r="AM7" s="100"/>
      <c r="AN7" s="122"/>
      <c r="AO7" s="122"/>
      <c r="AP7" s="122"/>
      <c r="AQ7" s="146"/>
    </row>
    <row r="8" spans="1:43" ht="19.5" customHeight="1">
      <c r="A8" s="100"/>
      <c r="B8" s="105"/>
      <c r="C8" s="106"/>
      <c r="D8" s="106"/>
      <c r="E8" s="107"/>
      <c r="F8" s="120"/>
      <c r="G8" s="121"/>
      <c r="H8" s="141"/>
      <c r="I8" s="141"/>
      <c r="J8" s="142"/>
      <c r="K8" s="145" t="s">
        <v>23</v>
      </c>
      <c r="L8" s="146"/>
      <c r="M8" s="120"/>
      <c r="N8" s="121"/>
      <c r="O8" s="141"/>
      <c r="P8" s="142"/>
      <c r="Q8" s="141"/>
      <c r="R8" s="145" t="s">
        <v>23</v>
      </c>
      <c r="S8" s="146"/>
      <c r="T8" s="120"/>
      <c r="U8" s="121"/>
      <c r="V8" s="141"/>
      <c r="W8" s="141"/>
      <c r="X8" s="225"/>
      <c r="Y8" s="145" t="s">
        <v>23</v>
      </c>
      <c r="Z8" s="146"/>
      <c r="AA8" s="120"/>
      <c r="AB8" s="121"/>
      <c r="AC8" s="141"/>
      <c r="AD8" s="141"/>
      <c r="AE8" s="142"/>
      <c r="AF8" s="145" t="s">
        <v>23</v>
      </c>
      <c r="AG8" s="139"/>
      <c r="AH8" s="100"/>
      <c r="AI8" s="122"/>
      <c r="AJ8" s="122"/>
      <c r="AK8" s="122"/>
      <c r="AL8" s="146"/>
      <c r="AM8" s="100"/>
      <c r="AN8" s="122"/>
      <c r="AO8" s="122"/>
      <c r="AP8" s="122"/>
      <c r="AQ8" s="146"/>
    </row>
    <row r="9" spans="1:43" ht="19.5" customHeight="1">
      <c r="A9" s="100"/>
      <c r="B9" s="105"/>
      <c r="C9" s="106"/>
      <c r="D9" s="106"/>
      <c r="E9" s="107"/>
      <c r="F9" s="100"/>
      <c r="G9" s="122"/>
      <c r="H9" s="105"/>
      <c r="I9" s="105"/>
      <c r="J9" s="143"/>
      <c r="K9" s="146"/>
      <c r="L9" s="146"/>
      <c r="M9" s="100"/>
      <c r="N9" s="122"/>
      <c r="O9" s="105"/>
      <c r="P9" s="143"/>
      <c r="Q9" s="105"/>
      <c r="R9" s="146"/>
      <c r="S9" s="146"/>
      <c r="T9" s="100"/>
      <c r="U9" s="122"/>
      <c r="V9" s="105"/>
      <c r="W9" s="105"/>
      <c r="X9" s="226"/>
      <c r="Y9" s="146"/>
      <c r="Z9" s="146"/>
      <c r="AA9" s="100"/>
      <c r="AB9" s="122"/>
      <c r="AC9" s="105"/>
      <c r="AD9" s="105"/>
      <c r="AE9" s="143"/>
      <c r="AF9" s="146"/>
      <c r="AG9" s="139"/>
      <c r="AH9" s="100"/>
      <c r="AI9" s="122"/>
      <c r="AJ9" s="122"/>
      <c r="AK9" s="122"/>
      <c r="AL9" s="146"/>
      <c r="AM9" s="100"/>
      <c r="AN9" s="122"/>
      <c r="AO9" s="122"/>
      <c r="AP9" s="122"/>
      <c r="AQ9" s="146"/>
    </row>
    <row r="10" spans="1:43" ht="19.5" customHeight="1">
      <c r="A10" s="100"/>
      <c r="B10" s="105"/>
      <c r="C10" s="106"/>
      <c r="D10" s="106"/>
      <c r="E10" s="107"/>
      <c r="F10" s="100"/>
      <c r="G10" s="122"/>
      <c r="H10" s="105"/>
      <c r="I10" s="105"/>
      <c r="J10" s="143"/>
      <c r="K10" s="146"/>
      <c r="L10" s="146"/>
      <c r="M10" s="100"/>
      <c r="N10" s="122"/>
      <c r="O10" s="105"/>
      <c r="P10" s="143"/>
      <c r="Q10" s="105"/>
      <c r="R10" s="146"/>
      <c r="S10" s="146"/>
      <c r="T10" s="100"/>
      <c r="U10" s="122"/>
      <c r="V10" s="105"/>
      <c r="W10" s="105"/>
      <c r="X10" s="226"/>
      <c r="Y10" s="146"/>
      <c r="Z10" s="146"/>
      <c r="AA10" s="100"/>
      <c r="AB10" s="122"/>
      <c r="AC10" s="105"/>
      <c r="AD10" s="105"/>
      <c r="AE10" s="143"/>
      <c r="AF10" s="146"/>
      <c r="AG10" s="139"/>
      <c r="AH10" s="100"/>
      <c r="AI10" s="122"/>
      <c r="AJ10" s="122"/>
      <c r="AK10" s="122"/>
      <c r="AL10" s="146"/>
      <c r="AM10" s="100"/>
      <c r="AN10" s="122"/>
      <c r="AO10" s="122"/>
      <c r="AP10" s="122"/>
      <c r="AQ10" s="146"/>
    </row>
    <row r="11" spans="1:43" ht="19.5" customHeight="1">
      <c r="A11" s="100"/>
      <c r="B11" s="105"/>
      <c r="C11" s="106"/>
      <c r="D11" s="106"/>
      <c r="E11" s="107"/>
      <c r="F11" s="100"/>
      <c r="G11" s="122"/>
      <c r="H11" s="105"/>
      <c r="I11" s="105"/>
      <c r="J11" s="143"/>
      <c r="K11" s="146"/>
      <c r="L11" s="146"/>
      <c r="M11" s="100"/>
      <c r="N11" s="122"/>
      <c r="O11" s="105"/>
      <c r="P11" s="143"/>
      <c r="Q11" s="105"/>
      <c r="R11" s="146"/>
      <c r="S11" s="146"/>
      <c r="T11" s="100"/>
      <c r="U11" s="122"/>
      <c r="V11" s="105"/>
      <c r="W11" s="105"/>
      <c r="X11" s="226"/>
      <c r="Y11" s="146"/>
      <c r="Z11" s="146"/>
      <c r="AA11" s="100"/>
      <c r="AB11" s="122"/>
      <c r="AC11" s="105"/>
      <c r="AD11" s="105"/>
      <c r="AE11" s="143"/>
      <c r="AF11" s="146"/>
      <c r="AG11" s="139"/>
      <c r="AH11" s="100"/>
      <c r="AI11" s="122"/>
      <c r="AJ11" s="122"/>
      <c r="AK11" s="122"/>
      <c r="AL11" s="146"/>
      <c r="AM11" s="100"/>
      <c r="AN11" s="122"/>
      <c r="AO11" s="122"/>
      <c r="AP11" s="122"/>
      <c r="AQ11" s="146"/>
    </row>
    <row r="12" spans="1:43" ht="19.5" customHeight="1">
      <c r="A12" s="100"/>
      <c r="B12" s="105"/>
      <c r="C12" s="106"/>
      <c r="D12" s="106"/>
      <c r="E12" s="107"/>
      <c r="F12" s="100"/>
      <c r="G12" s="122"/>
      <c r="H12" s="105"/>
      <c r="I12" s="105"/>
      <c r="J12" s="143"/>
      <c r="K12" s="146"/>
      <c r="L12" s="146"/>
      <c r="M12" s="100"/>
      <c r="N12" s="122"/>
      <c r="O12" s="105"/>
      <c r="P12" s="143"/>
      <c r="Q12" s="105"/>
      <c r="R12" s="146"/>
      <c r="S12" s="146"/>
      <c r="T12" s="100"/>
      <c r="U12" s="122"/>
      <c r="V12" s="105"/>
      <c r="W12" s="105"/>
      <c r="X12" s="226"/>
      <c r="Y12" s="146"/>
      <c r="Z12" s="146"/>
      <c r="AA12" s="100"/>
      <c r="AB12" s="122"/>
      <c r="AC12" s="105"/>
      <c r="AD12" s="105"/>
      <c r="AE12" s="143"/>
      <c r="AF12" s="146"/>
      <c r="AG12" s="139"/>
      <c r="AH12" s="100"/>
      <c r="AI12" s="122"/>
      <c r="AJ12" s="122"/>
      <c r="AK12" s="122"/>
      <c r="AL12" s="146"/>
      <c r="AM12" s="100"/>
      <c r="AN12" s="122"/>
      <c r="AO12" s="122"/>
      <c r="AP12" s="122"/>
      <c r="AQ12" s="146"/>
    </row>
    <row r="13" spans="1:43" ht="19.5" customHeight="1">
      <c r="A13" s="100"/>
      <c r="B13" s="105"/>
      <c r="C13" s="106"/>
      <c r="D13" s="106"/>
      <c r="E13" s="107"/>
      <c r="F13" s="100"/>
      <c r="G13" s="122"/>
      <c r="H13" s="105"/>
      <c r="I13" s="105"/>
      <c r="J13" s="143"/>
      <c r="K13" s="146"/>
      <c r="L13" s="146"/>
      <c r="M13" s="100"/>
      <c r="N13" s="122"/>
      <c r="O13" s="105"/>
      <c r="P13" s="143"/>
      <c r="Q13" s="105"/>
      <c r="R13" s="146"/>
      <c r="S13" s="146"/>
      <c r="T13" s="100"/>
      <c r="U13" s="122"/>
      <c r="V13" s="105"/>
      <c r="W13" s="105"/>
      <c r="X13" s="226"/>
      <c r="Y13" s="146"/>
      <c r="Z13" s="146"/>
      <c r="AA13" s="100"/>
      <c r="AB13" s="122"/>
      <c r="AC13" s="105"/>
      <c r="AD13" s="105"/>
      <c r="AE13" s="143"/>
      <c r="AF13" s="146"/>
      <c r="AG13" s="139"/>
      <c r="AH13" s="100"/>
      <c r="AI13" s="122"/>
      <c r="AJ13" s="122"/>
      <c r="AK13" s="122"/>
      <c r="AL13" s="146"/>
      <c r="AM13" s="100"/>
      <c r="AN13" s="122"/>
      <c r="AO13" s="122"/>
      <c r="AP13" s="122"/>
      <c r="AQ13" s="146"/>
    </row>
    <row r="14" spans="1:43" ht="19.5" customHeight="1">
      <c r="A14" s="100"/>
      <c r="B14" s="105"/>
      <c r="C14" s="106"/>
      <c r="D14" s="106"/>
      <c r="E14" s="107"/>
      <c r="F14" s="100"/>
      <c r="G14" s="122"/>
      <c r="H14" s="105"/>
      <c r="I14" s="105"/>
      <c r="J14" s="143"/>
      <c r="K14" s="146"/>
      <c r="L14" s="146"/>
      <c r="M14" s="100"/>
      <c r="N14" s="122"/>
      <c r="O14" s="105"/>
      <c r="P14" s="143"/>
      <c r="Q14" s="105"/>
      <c r="R14" s="146"/>
      <c r="S14" s="146"/>
      <c r="T14" s="100"/>
      <c r="U14" s="122"/>
      <c r="V14" s="105"/>
      <c r="W14" s="105"/>
      <c r="X14" s="226"/>
      <c r="Y14" s="146"/>
      <c r="Z14" s="146"/>
      <c r="AA14" s="100"/>
      <c r="AB14" s="122"/>
      <c r="AC14" s="105"/>
      <c r="AD14" s="105"/>
      <c r="AE14" s="143"/>
      <c r="AF14" s="146"/>
      <c r="AG14" s="139"/>
      <c r="AH14" s="100"/>
      <c r="AI14" s="122"/>
      <c r="AJ14" s="122"/>
      <c r="AK14" s="122"/>
      <c r="AL14" s="146"/>
      <c r="AM14" s="100"/>
      <c r="AN14" s="122"/>
      <c r="AO14" s="122"/>
      <c r="AP14" s="122"/>
      <c r="AQ14" s="146"/>
    </row>
    <row r="15" spans="1:43" ht="19.5" customHeight="1" thickBot="1">
      <c r="A15" s="101"/>
      <c r="B15" s="108"/>
      <c r="C15" s="109"/>
      <c r="D15" s="109"/>
      <c r="E15" s="110"/>
      <c r="F15" s="101"/>
      <c r="G15" s="123"/>
      <c r="H15" s="108"/>
      <c r="I15" s="108"/>
      <c r="J15" s="144"/>
      <c r="K15" s="147"/>
      <c r="L15" s="147"/>
      <c r="M15" s="101"/>
      <c r="N15" s="123"/>
      <c r="O15" s="108"/>
      <c r="P15" s="144"/>
      <c r="Q15" s="108"/>
      <c r="R15" s="147"/>
      <c r="S15" s="147"/>
      <c r="T15" s="101"/>
      <c r="U15" s="123"/>
      <c r="V15" s="108"/>
      <c r="W15" s="108"/>
      <c r="X15" s="227"/>
      <c r="Y15" s="147"/>
      <c r="Z15" s="147"/>
      <c r="AA15" s="101"/>
      <c r="AB15" s="123"/>
      <c r="AC15" s="108"/>
      <c r="AD15" s="108"/>
      <c r="AE15" s="144"/>
      <c r="AF15" s="147"/>
      <c r="AG15" s="140"/>
      <c r="AH15" s="101"/>
      <c r="AI15" s="123"/>
      <c r="AJ15" s="123"/>
      <c r="AK15" s="123"/>
      <c r="AL15" s="147"/>
      <c r="AM15" s="101"/>
      <c r="AN15" s="123"/>
      <c r="AO15" s="123"/>
      <c r="AP15" s="123"/>
      <c r="AQ15" s="147"/>
    </row>
    <row r="16" spans="1:43" ht="19.5" customHeight="1">
      <c r="A16" s="7">
        <v>1</v>
      </c>
      <c r="B16" s="210" t="s">
        <v>80</v>
      </c>
      <c r="C16" s="211"/>
      <c r="D16" s="211"/>
      <c r="E16" s="212"/>
      <c r="F16" s="8"/>
      <c r="G16" s="9"/>
      <c r="H16" s="9"/>
      <c r="I16" s="10"/>
      <c r="J16" s="11"/>
      <c r="K16" s="12" t="str">
        <f t="shared" ref="K16:K30" si="0">IF(F16=0,"",ROUND(AVERAGE(F16:J16),0))</f>
        <v/>
      </c>
      <c r="L16" s="62"/>
      <c r="M16" s="8"/>
      <c r="N16" s="9"/>
      <c r="O16" s="9"/>
      <c r="P16" s="10"/>
      <c r="Q16" s="11"/>
      <c r="R16" s="12" t="str">
        <f t="shared" ref="R16:R30" si="1">IF(M16=0,"",ROUND(AVERAGE(M16:Q16),0))</f>
        <v/>
      </c>
      <c r="S16" s="62"/>
      <c r="T16" s="8"/>
      <c r="U16" s="9"/>
      <c r="V16" s="9"/>
      <c r="W16" s="10"/>
      <c r="X16" s="11"/>
      <c r="Y16" s="12" t="str">
        <f t="shared" ref="Y16:Y30" si="2">IF(T16=0,"",ROUND(AVERAGE(T16:X16),0))</f>
        <v/>
      </c>
      <c r="Z16" s="62"/>
      <c r="AA16" s="15"/>
      <c r="AB16" s="66"/>
      <c r="AC16" s="67"/>
      <c r="AD16" s="17"/>
      <c r="AE16" s="18"/>
      <c r="AF16" s="12" t="str">
        <f t="shared" ref="AF16:AF30" si="3">IF(AA16=0,"",ROUND(AVERAGE(AA16:AE16),0))</f>
        <v/>
      </c>
      <c r="AG16" s="19"/>
      <c r="AH16" s="8" t="str">
        <f t="shared" ref="AH16:AH30" si="4">IF(K16=0,"",K16)</f>
        <v/>
      </c>
      <c r="AI16" s="9" t="str">
        <f t="shared" ref="AI16:AI30" si="5">IF(R16=0,"",R16)</f>
        <v/>
      </c>
      <c r="AJ16" s="9" t="str">
        <f t="shared" ref="AJ16:AJ30" si="6">IF(Y16=0,"",Y16)</f>
        <v/>
      </c>
      <c r="AK16" s="9" t="str">
        <f t="shared" ref="AK16:AK30" si="7">IF(AF16=0,"",AF16)</f>
        <v/>
      </c>
      <c r="AL16" s="12" t="str">
        <f t="shared" ref="AL16:AL30" si="8">IF(F16=0,"",ROUND(AVERAGE(AH16:AK16),0))</f>
        <v/>
      </c>
      <c r="AM16" s="8" t="str">
        <f t="shared" ref="AM16:AP16" si="9">IF(AH16=0,"",IF(AH16&lt;=10,"C",IF(AH16&lt;=13,"B",IF(AH16&lt;=17,"A",IF(AH16&lt;=20,"AD","")))))</f>
        <v/>
      </c>
      <c r="AN16" s="9" t="str">
        <f t="shared" si="9"/>
        <v/>
      </c>
      <c r="AO16" s="9" t="str">
        <f t="shared" si="9"/>
        <v/>
      </c>
      <c r="AP16" s="9" t="str">
        <f t="shared" si="9"/>
        <v/>
      </c>
      <c r="AQ16" s="20" t="str">
        <f t="shared" ref="AQ16:AQ30" si="10">IF(AL16=0,"",IF(AL16&lt;0,"Error",IF(AL16&lt;=10,"C",IF(AL16&lt;=13,"B",IF(AL16&lt;=17,"A",IF(AL16&lt;=20,"AD",""))))))</f>
        <v/>
      </c>
    </row>
    <row r="17" spans="1:43" ht="19.5" customHeight="1">
      <c r="A17" s="22">
        <v>2</v>
      </c>
      <c r="B17" s="204" t="s">
        <v>81</v>
      </c>
      <c r="C17" s="205" t="s">
        <v>81</v>
      </c>
      <c r="D17" s="205" t="s">
        <v>81</v>
      </c>
      <c r="E17" s="206" t="s">
        <v>81</v>
      </c>
      <c r="F17" s="23"/>
      <c r="G17" s="24"/>
      <c r="H17" s="24"/>
      <c r="I17" s="25"/>
      <c r="J17" s="26"/>
      <c r="K17" s="12" t="str">
        <f t="shared" si="0"/>
        <v/>
      </c>
      <c r="L17" s="21"/>
      <c r="M17" s="23"/>
      <c r="N17" s="24"/>
      <c r="O17" s="24"/>
      <c r="P17" s="25"/>
      <c r="Q17" s="26"/>
      <c r="R17" s="12" t="str">
        <f t="shared" si="1"/>
        <v/>
      </c>
      <c r="S17" s="21"/>
      <c r="T17" s="23"/>
      <c r="U17" s="24"/>
      <c r="V17" s="24"/>
      <c r="W17" s="25"/>
      <c r="X17" s="26"/>
      <c r="Y17" s="12" t="str">
        <f t="shared" si="2"/>
        <v/>
      </c>
      <c r="Z17" s="14"/>
      <c r="AA17" s="27"/>
      <c r="AB17" s="66"/>
      <c r="AC17" s="67"/>
      <c r="AD17" s="29"/>
      <c r="AE17" s="30"/>
      <c r="AF17" s="12" t="str">
        <f t="shared" si="3"/>
        <v/>
      </c>
      <c r="AG17" s="13"/>
      <c r="AH17" s="23" t="str">
        <f t="shared" si="4"/>
        <v/>
      </c>
      <c r="AI17" s="24" t="str">
        <f t="shared" si="5"/>
        <v/>
      </c>
      <c r="AJ17" s="24" t="str">
        <f t="shared" si="6"/>
        <v/>
      </c>
      <c r="AK17" s="24" t="str">
        <f t="shared" si="7"/>
        <v/>
      </c>
      <c r="AL17" s="31" t="str">
        <f t="shared" si="8"/>
        <v/>
      </c>
      <c r="AM17" s="8" t="str">
        <f t="shared" ref="AM17:AP17" si="11">IF(AH17=0,"",IF(AH17&lt;=10,"C",IF(AH17&lt;=13,"B",IF(AH17&lt;=17,"A",IF(AH17&lt;=20,"AD","")))))</f>
        <v/>
      </c>
      <c r="AN17" s="9" t="str">
        <f t="shared" si="11"/>
        <v/>
      </c>
      <c r="AO17" s="9" t="str">
        <f t="shared" si="11"/>
        <v/>
      </c>
      <c r="AP17" s="9" t="str">
        <f t="shared" si="11"/>
        <v/>
      </c>
      <c r="AQ17" s="20" t="str">
        <f t="shared" si="10"/>
        <v/>
      </c>
    </row>
    <row r="18" spans="1:43" ht="19.5" customHeight="1">
      <c r="A18" s="22">
        <v>3</v>
      </c>
      <c r="B18" s="207" t="s">
        <v>82</v>
      </c>
      <c r="C18" s="208" t="s">
        <v>82</v>
      </c>
      <c r="D18" s="208" t="s">
        <v>82</v>
      </c>
      <c r="E18" s="209" t="s">
        <v>82</v>
      </c>
      <c r="F18" s="23"/>
      <c r="G18" s="24"/>
      <c r="H18" s="24"/>
      <c r="I18" s="25"/>
      <c r="J18" s="26"/>
      <c r="K18" s="12" t="str">
        <f t="shared" si="0"/>
        <v/>
      </c>
      <c r="L18" s="13"/>
      <c r="M18" s="23"/>
      <c r="N18" s="24"/>
      <c r="O18" s="24"/>
      <c r="P18" s="25"/>
      <c r="Q18" s="26"/>
      <c r="R18" s="12" t="str">
        <f t="shared" si="1"/>
        <v/>
      </c>
      <c r="S18" s="13"/>
      <c r="T18" s="23"/>
      <c r="U18" s="24"/>
      <c r="V18" s="24"/>
      <c r="W18" s="25"/>
      <c r="X18" s="26"/>
      <c r="Y18" s="12" t="str">
        <f t="shared" si="2"/>
        <v/>
      </c>
      <c r="Z18" s="14"/>
      <c r="AA18" s="27"/>
      <c r="AB18" s="66"/>
      <c r="AC18" s="67"/>
      <c r="AD18" s="29"/>
      <c r="AE18" s="30"/>
      <c r="AF18" s="12" t="str">
        <f t="shared" si="3"/>
        <v/>
      </c>
      <c r="AG18" s="13"/>
      <c r="AH18" s="23" t="str">
        <f t="shared" si="4"/>
        <v/>
      </c>
      <c r="AI18" s="24" t="str">
        <f t="shared" si="5"/>
        <v/>
      </c>
      <c r="AJ18" s="24" t="str">
        <f t="shared" si="6"/>
        <v/>
      </c>
      <c r="AK18" s="24" t="str">
        <f t="shared" si="7"/>
        <v/>
      </c>
      <c r="AL18" s="31" t="str">
        <f t="shared" si="8"/>
        <v/>
      </c>
      <c r="AM18" s="8" t="str">
        <f t="shared" ref="AM18:AP18" si="12">IF(AH18=0,"",IF(AH18&lt;=10,"C",IF(AH18&lt;=13,"B",IF(AH18&lt;=17,"A",IF(AH18&lt;=20,"AD","")))))</f>
        <v/>
      </c>
      <c r="AN18" s="9" t="str">
        <f t="shared" si="12"/>
        <v/>
      </c>
      <c r="AO18" s="9" t="str">
        <f t="shared" si="12"/>
        <v/>
      </c>
      <c r="AP18" s="9" t="str">
        <f t="shared" si="12"/>
        <v/>
      </c>
      <c r="AQ18" s="20" t="str">
        <f t="shared" si="10"/>
        <v/>
      </c>
    </row>
    <row r="19" spans="1:43" ht="19.5" customHeight="1">
      <c r="A19" s="22">
        <v>4</v>
      </c>
      <c r="B19" s="204" t="s">
        <v>83</v>
      </c>
      <c r="C19" s="205" t="s">
        <v>83</v>
      </c>
      <c r="D19" s="205" t="s">
        <v>83</v>
      </c>
      <c r="E19" s="206" t="s">
        <v>83</v>
      </c>
      <c r="F19" s="23"/>
      <c r="G19" s="24"/>
      <c r="H19" s="24"/>
      <c r="I19" s="25"/>
      <c r="J19" s="26"/>
      <c r="K19" s="12" t="str">
        <f t="shared" si="0"/>
        <v/>
      </c>
      <c r="L19" s="14"/>
      <c r="M19" s="23"/>
      <c r="N19" s="24"/>
      <c r="O19" s="24"/>
      <c r="P19" s="25"/>
      <c r="Q19" s="26"/>
      <c r="R19" s="12" t="str">
        <f t="shared" si="1"/>
        <v/>
      </c>
      <c r="S19" s="14"/>
      <c r="T19" s="23"/>
      <c r="U19" s="24"/>
      <c r="V19" s="24"/>
      <c r="W19" s="25"/>
      <c r="X19" s="26"/>
      <c r="Y19" s="12" t="str">
        <f t="shared" si="2"/>
        <v/>
      </c>
      <c r="Z19" s="14"/>
      <c r="AA19" s="27"/>
      <c r="AB19" s="66"/>
      <c r="AC19" s="67"/>
      <c r="AD19" s="29"/>
      <c r="AE19" s="30"/>
      <c r="AF19" s="12" t="str">
        <f t="shared" si="3"/>
        <v/>
      </c>
      <c r="AG19" s="13"/>
      <c r="AH19" s="23" t="str">
        <f t="shared" si="4"/>
        <v/>
      </c>
      <c r="AI19" s="24" t="str">
        <f t="shared" si="5"/>
        <v/>
      </c>
      <c r="AJ19" s="24" t="str">
        <f t="shared" si="6"/>
        <v/>
      </c>
      <c r="AK19" s="24" t="str">
        <f t="shared" si="7"/>
        <v/>
      </c>
      <c r="AL19" s="31" t="str">
        <f t="shared" si="8"/>
        <v/>
      </c>
      <c r="AM19" s="8" t="str">
        <f t="shared" ref="AM19:AP19" si="13">IF(AH19=0,"",IF(AH19&lt;=10,"C",IF(AH19&lt;=13,"B",IF(AH19&lt;=17,"A",IF(AH19&lt;=20,"AD","")))))</f>
        <v/>
      </c>
      <c r="AN19" s="9" t="str">
        <f t="shared" si="13"/>
        <v/>
      </c>
      <c r="AO19" s="9" t="str">
        <f t="shared" si="13"/>
        <v/>
      </c>
      <c r="AP19" s="9" t="str">
        <f t="shared" si="13"/>
        <v/>
      </c>
      <c r="AQ19" s="20" t="str">
        <f t="shared" si="10"/>
        <v/>
      </c>
    </row>
    <row r="20" spans="1:43" ht="19.5" customHeight="1">
      <c r="A20" s="22">
        <v>5</v>
      </c>
      <c r="B20" s="207" t="s">
        <v>84</v>
      </c>
      <c r="C20" s="208" t="s">
        <v>84</v>
      </c>
      <c r="D20" s="208" t="s">
        <v>84</v>
      </c>
      <c r="E20" s="209" t="s">
        <v>84</v>
      </c>
      <c r="F20" s="23"/>
      <c r="G20" s="24"/>
      <c r="H20" s="24"/>
      <c r="I20" s="25"/>
      <c r="J20" s="26"/>
      <c r="K20" s="12" t="str">
        <f t="shared" si="0"/>
        <v/>
      </c>
      <c r="L20" s="13"/>
      <c r="M20" s="23"/>
      <c r="N20" s="24"/>
      <c r="O20" s="24"/>
      <c r="P20" s="25"/>
      <c r="Q20" s="26"/>
      <c r="R20" s="12" t="str">
        <f t="shared" si="1"/>
        <v/>
      </c>
      <c r="S20" s="14"/>
      <c r="T20" s="23"/>
      <c r="U20" s="24"/>
      <c r="V20" s="24"/>
      <c r="W20" s="25"/>
      <c r="X20" s="26"/>
      <c r="Y20" s="12" t="str">
        <f t="shared" si="2"/>
        <v/>
      </c>
      <c r="Z20" s="14"/>
      <c r="AA20" s="27"/>
      <c r="AB20" s="66"/>
      <c r="AC20" s="67"/>
      <c r="AD20" s="29"/>
      <c r="AE20" s="30"/>
      <c r="AF20" s="12" t="str">
        <f t="shared" si="3"/>
        <v/>
      </c>
      <c r="AG20" s="13"/>
      <c r="AH20" s="23" t="str">
        <f t="shared" si="4"/>
        <v/>
      </c>
      <c r="AI20" s="24" t="str">
        <f t="shared" si="5"/>
        <v/>
      </c>
      <c r="AJ20" s="24" t="str">
        <f t="shared" si="6"/>
        <v/>
      </c>
      <c r="AK20" s="24" t="str">
        <f t="shared" si="7"/>
        <v/>
      </c>
      <c r="AL20" s="31" t="str">
        <f t="shared" si="8"/>
        <v/>
      </c>
      <c r="AM20" s="8" t="str">
        <f t="shared" ref="AM20:AP20" si="14">IF(AH20=0,"",IF(AH20&lt;=10,"C",IF(AH20&lt;=13,"B",IF(AH20&lt;=17,"A",IF(AH20&lt;=20,"AD","")))))</f>
        <v/>
      </c>
      <c r="AN20" s="9" t="str">
        <f t="shared" si="14"/>
        <v/>
      </c>
      <c r="AO20" s="9" t="str">
        <f t="shared" si="14"/>
        <v/>
      </c>
      <c r="AP20" s="9" t="str">
        <f t="shared" si="14"/>
        <v/>
      </c>
      <c r="AQ20" s="20" t="str">
        <f t="shared" si="10"/>
        <v/>
      </c>
    </row>
    <row r="21" spans="1:43" ht="19.5" customHeight="1">
      <c r="A21" s="22">
        <v>6</v>
      </c>
      <c r="B21" s="207" t="s">
        <v>85</v>
      </c>
      <c r="C21" s="208" t="s">
        <v>85</v>
      </c>
      <c r="D21" s="208" t="s">
        <v>85</v>
      </c>
      <c r="E21" s="209" t="s">
        <v>85</v>
      </c>
      <c r="F21" s="23"/>
      <c r="G21" s="24"/>
      <c r="H21" s="24"/>
      <c r="I21" s="25"/>
      <c r="J21" s="26"/>
      <c r="K21" s="12" t="str">
        <f t="shared" si="0"/>
        <v/>
      </c>
      <c r="L21" s="64"/>
      <c r="M21" s="23"/>
      <c r="N21" s="24"/>
      <c r="O21" s="24"/>
      <c r="P21" s="25"/>
      <c r="Q21" s="26"/>
      <c r="R21" s="12" t="str">
        <f t="shared" si="1"/>
        <v/>
      </c>
      <c r="S21" s="21"/>
      <c r="T21" s="23"/>
      <c r="U21" s="24"/>
      <c r="V21" s="24"/>
      <c r="W21" s="25"/>
      <c r="X21" s="26"/>
      <c r="Y21" s="12" t="str">
        <f t="shared" si="2"/>
        <v/>
      </c>
      <c r="Z21" s="64"/>
      <c r="AA21" s="27"/>
      <c r="AB21" s="66"/>
      <c r="AC21" s="67"/>
      <c r="AD21" s="29"/>
      <c r="AE21" s="30"/>
      <c r="AF21" s="12" t="str">
        <f t="shared" si="3"/>
        <v/>
      </c>
      <c r="AG21" s="13"/>
      <c r="AH21" s="23" t="str">
        <f t="shared" si="4"/>
        <v/>
      </c>
      <c r="AI21" s="24" t="str">
        <f t="shared" si="5"/>
        <v/>
      </c>
      <c r="AJ21" s="24" t="str">
        <f t="shared" si="6"/>
        <v/>
      </c>
      <c r="AK21" s="24" t="str">
        <f t="shared" si="7"/>
        <v/>
      </c>
      <c r="AL21" s="31" t="str">
        <f t="shared" si="8"/>
        <v/>
      </c>
      <c r="AM21" s="8" t="str">
        <f t="shared" ref="AM21:AP21" si="15">IF(AH21=0,"",IF(AH21&lt;=10,"C",IF(AH21&lt;=13,"B",IF(AH21&lt;=17,"A",IF(AH21&lt;=20,"AD","")))))</f>
        <v/>
      </c>
      <c r="AN21" s="9" t="str">
        <f t="shared" si="15"/>
        <v/>
      </c>
      <c r="AO21" s="9" t="str">
        <f t="shared" si="15"/>
        <v/>
      </c>
      <c r="AP21" s="9" t="str">
        <f t="shared" si="15"/>
        <v/>
      </c>
      <c r="AQ21" s="20" t="str">
        <f t="shared" si="10"/>
        <v/>
      </c>
    </row>
    <row r="22" spans="1:43" ht="19.5" customHeight="1">
      <c r="A22" s="22">
        <v>7</v>
      </c>
      <c r="B22" s="207" t="s">
        <v>86</v>
      </c>
      <c r="C22" s="208" t="s">
        <v>86</v>
      </c>
      <c r="D22" s="208" t="s">
        <v>86</v>
      </c>
      <c r="E22" s="209" t="s">
        <v>86</v>
      </c>
      <c r="F22" s="23"/>
      <c r="G22" s="24"/>
      <c r="H22" s="24"/>
      <c r="I22" s="25"/>
      <c r="J22" s="26"/>
      <c r="K22" s="12" t="str">
        <f t="shared" si="0"/>
        <v/>
      </c>
      <c r="L22" s="13"/>
      <c r="M22" s="23"/>
      <c r="N22" s="24"/>
      <c r="O22" s="24"/>
      <c r="P22" s="25"/>
      <c r="Q22" s="26"/>
      <c r="R22" s="12" t="str">
        <f t="shared" si="1"/>
        <v/>
      </c>
      <c r="S22" s="13"/>
      <c r="T22" s="23"/>
      <c r="U22" s="24"/>
      <c r="V22" s="24"/>
      <c r="W22" s="25"/>
      <c r="X22" s="26"/>
      <c r="Y22" s="12" t="str">
        <f t="shared" si="2"/>
        <v/>
      </c>
      <c r="Z22" s="14"/>
      <c r="AA22" s="27"/>
      <c r="AB22" s="66"/>
      <c r="AC22" s="67"/>
      <c r="AD22" s="29"/>
      <c r="AE22" s="30"/>
      <c r="AF22" s="12" t="str">
        <f t="shared" si="3"/>
        <v/>
      </c>
      <c r="AG22" s="13"/>
      <c r="AH22" s="23" t="str">
        <f t="shared" si="4"/>
        <v/>
      </c>
      <c r="AI22" s="24" t="str">
        <f t="shared" si="5"/>
        <v/>
      </c>
      <c r="AJ22" s="24" t="str">
        <f t="shared" si="6"/>
        <v/>
      </c>
      <c r="AK22" s="24" t="str">
        <f t="shared" si="7"/>
        <v/>
      </c>
      <c r="AL22" s="31" t="str">
        <f t="shared" si="8"/>
        <v/>
      </c>
      <c r="AM22" s="8" t="str">
        <f t="shared" ref="AM22:AP22" si="16">IF(AH22=0,"",IF(AH22&lt;=10,"C",IF(AH22&lt;=13,"B",IF(AH22&lt;=17,"A",IF(AH22&lt;=20,"AD","")))))</f>
        <v/>
      </c>
      <c r="AN22" s="9" t="str">
        <f t="shared" si="16"/>
        <v/>
      </c>
      <c r="AO22" s="9" t="str">
        <f t="shared" si="16"/>
        <v/>
      </c>
      <c r="AP22" s="9" t="str">
        <f t="shared" si="16"/>
        <v/>
      </c>
      <c r="AQ22" s="20" t="str">
        <f t="shared" si="10"/>
        <v/>
      </c>
    </row>
    <row r="23" spans="1:43" ht="19.5" customHeight="1">
      <c r="A23" s="22">
        <v>8</v>
      </c>
      <c r="B23" s="207" t="s">
        <v>87</v>
      </c>
      <c r="C23" s="208" t="s">
        <v>87</v>
      </c>
      <c r="D23" s="208" t="s">
        <v>87</v>
      </c>
      <c r="E23" s="209" t="s">
        <v>87</v>
      </c>
      <c r="F23" s="23"/>
      <c r="G23" s="24"/>
      <c r="H23" s="24"/>
      <c r="I23" s="25"/>
      <c r="J23" s="26"/>
      <c r="K23" s="12" t="str">
        <f t="shared" si="0"/>
        <v/>
      </c>
      <c r="L23" s="14"/>
      <c r="M23" s="23"/>
      <c r="N23" s="24"/>
      <c r="O23" s="24"/>
      <c r="P23" s="25"/>
      <c r="Q23" s="26"/>
      <c r="R23" s="12" t="str">
        <f t="shared" si="1"/>
        <v/>
      </c>
      <c r="S23" s="13"/>
      <c r="T23" s="23"/>
      <c r="U23" s="24"/>
      <c r="V23" s="24"/>
      <c r="W23" s="25"/>
      <c r="X23" s="26"/>
      <c r="Y23" s="12" t="str">
        <f t="shared" si="2"/>
        <v/>
      </c>
      <c r="Z23" s="14"/>
      <c r="AA23" s="27"/>
      <c r="AB23" s="66"/>
      <c r="AC23" s="67"/>
      <c r="AD23" s="29"/>
      <c r="AE23" s="30"/>
      <c r="AF23" s="12" t="str">
        <f t="shared" si="3"/>
        <v/>
      </c>
      <c r="AG23" s="13"/>
      <c r="AH23" s="23" t="str">
        <f t="shared" si="4"/>
        <v/>
      </c>
      <c r="AI23" s="24" t="str">
        <f t="shared" si="5"/>
        <v/>
      </c>
      <c r="AJ23" s="24" t="str">
        <f t="shared" si="6"/>
        <v/>
      </c>
      <c r="AK23" s="24" t="str">
        <f t="shared" si="7"/>
        <v/>
      </c>
      <c r="AL23" s="31" t="str">
        <f t="shared" si="8"/>
        <v/>
      </c>
      <c r="AM23" s="8" t="str">
        <f t="shared" ref="AM23:AP23" si="17">IF(AH23=0,"",IF(AH23&lt;=10,"C",IF(AH23&lt;=13,"B",IF(AH23&lt;=17,"A",IF(AH23&lt;=20,"AD","")))))</f>
        <v/>
      </c>
      <c r="AN23" s="9" t="str">
        <f t="shared" si="17"/>
        <v/>
      </c>
      <c r="AO23" s="9" t="str">
        <f t="shared" si="17"/>
        <v/>
      </c>
      <c r="AP23" s="9" t="str">
        <f t="shared" si="17"/>
        <v/>
      </c>
      <c r="AQ23" s="20" t="str">
        <f t="shared" si="10"/>
        <v/>
      </c>
    </row>
    <row r="24" spans="1:43" ht="19.5" customHeight="1">
      <c r="A24" s="22">
        <v>9</v>
      </c>
      <c r="B24" s="207" t="s">
        <v>88</v>
      </c>
      <c r="C24" s="208" t="s">
        <v>88</v>
      </c>
      <c r="D24" s="208" t="s">
        <v>88</v>
      </c>
      <c r="E24" s="209" t="s">
        <v>88</v>
      </c>
      <c r="F24" s="23"/>
      <c r="G24" s="24"/>
      <c r="H24" s="24"/>
      <c r="I24" s="25"/>
      <c r="J24" s="26"/>
      <c r="K24" s="12" t="str">
        <f t="shared" si="0"/>
        <v/>
      </c>
      <c r="L24" s="65"/>
      <c r="M24" s="23"/>
      <c r="N24" s="24"/>
      <c r="O24" s="24"/>
      <c r="P24" s="25"/>
      <c r="Q24" s="26"/>
      <c r="R24" s="12" t="str">
        <f t="shared" si="1"/>
        <v/>
      </c>
      <c r="S24" s="13"/>
      <c r="T24" s="23"/>
      <c r="U24" s="24"/>
      <c r="V24" s="24"/>
      <c r="W24" s="25"/>
      <c r="X24" s="26"/>
      <c r="Y24" s="12" t="str">
        <f t="shared" si="2"/>
        <v/>
      </c>
      <c r="Z24" s="14"/>
      <c r="AA24" s="27"/>
      <c r="AB24" s="66"/>
      <c r="AC24" s="67"/>
      <c r="AD24" s="29"/>
      <c r="AE24" s="30"/>
      <c r="AF24" s="12" t="str">
        <f t="shared" si="3"/>
        <v/>
      </c>
      <c r="AG24" s="13"/>
      <c r="AH24" s="23" t="str">
        <f t="shared" si="4"/>
        <v/>
      </c>
      <c r="AI24" s="24" t="str">
        <f t="shared" si="5"/>
        <v/>
      </c>
      <c r="AJ24" s="24" t="str">
        <f t="shared" si="6"/>
        <v/>
      </c>
      <c r="AK24" s="24" t="str">
        <f t="shared" si="7"/>
        <v/>
      </c>
      <c r="AL24" s="31" t="str">
        <f t="shared" si="8"/>
        <v/>
      </c>
      <c r="AM24" s="8" t="str">
        <f t="shared" ref="AM24:AP24" si="18">IF(AH24=0,"",IF(AH24&lt;=10,"C",IF(AH24&lt;=13,"B",IF(AH24&lt;=17,"A",IF(AH24&lt;=20,"AD","")))))</f>
        <v/>
      </c>
      <c r="AN24" s="9" t="str">
        <f t="shared" si="18"/>
        <v/>
      </c>
      <c r="AO24" s="9" t="str">
        <f t="shared" si="18"/>
        <v/>
      </c>
      <c r="AP24" s="9" t="str">
        <f t="shared" si="18"/>
        <v/>
      </c>
      <c r="AQ24" s="20" t="str">
        <f t="shared" si="10"/>
        <v/>
      </c>
    </row>
    <row r="25" spans="1:43" ht="19.5" customHeight="1">
      <c r="A25" s="22">
        <v>10</v>
      </c>
      <c r="B25" s="207" t="s">
        <v>89</v>
      </c>
      <c r="C25" s="208" t="s">
        <v>89</v>
      </c>
      <c r="D25" s="208" t="s">
        <v>89</v>
      </c>
      <c r="E25" s="209" t="s">
        <v>89</v>
      </c>
      <c r="F25" s="23"/>
      <c r="G25" s="24"/>
      <c r="H25" s="24"/>
      <c r="I25" s="25"/>
      <c r="J25" s="26"/>
      <c r="K25" s="12" t="str">
        <f t="shared" si="0"/>
        <v/>
      </c>
      <c r="L25" s="65"/>
      <c r="M25" s="23"/>
      <c r="N25" s="24"/>
      <c r="O25" s="24"/>
      <c r="P25" s="25"/>
      <c r="Q25" s="26"/>
      <c r="R25" s="12" t="str">
        <f t="shared" si="1"/>
        <v/>
      </c>
      <c r="S25" s="13"/>
      <c r="T25" s="23"/>
      <c r="U25" s="24"/>
      <c r="V25" s="24"/>
      <c r="W25" s="25"/>
      <c r="X25" s="26"/>
      <c r="Y25" s="12" t="str">
        <f t="shared" si="2"/>
        <v/>
      </c>
      <c r="Z25" s="14"/>
      <c r="AA25" s="27"/>
      <c r="AB25" s="66"/>
      <c r="AC25" s="67"/>
      <c r="AD25" s="29"/>
      <c r="AE25" s="30"/>
      <c r="AF25" s="12" t="str">
        <f t="shared" si="3"/>
        <v/>
      </c>
      <c r="AG25" s="13"/>
      <c r="AH25" s="23" t="str">
        <f t="shared" si="4"/>
        <v/>
      </c>
      <c r="AI25" s="24" t="str">
        <f t="shared" si="5"/>
        <v/>
      </c>
      <c r="AJ25" s="24" t="str">
        <f t="shared" si="6"/>
        <v/>
      </c>
      <c r="AK25" s="24" t="str">
        <f t="shared" si="7"/>
        <v/>
      </c>
      <c r="AL25" s="31" t="str">
        <f t="shared" si="8"/>
        <v/>
      </c>
      <c r="AM25" s="8" t="str">
        <f t="shared" ref="AM25:AP25" si="19">IF(AH25=0,"",IF(AH25&lt;=10,"C",IF(AH25&lt;=13,"B",IF(AH25&lt;=17,"A",IF(AH25&lt;=20,"AD","")))))</f>
        <v/>
      </c>
      <c r="AN25" s="9" t="str">
        <f t="shared" si="19"/>
        <v/>
      </c>
      <c r="AO25" s="9" t="str">
        <f t="shared" si="19"/>
        <v/>
      </c>
      <c r="AP25" s="9" t="str">
        <f t="shared" si="19"/>
        <v/>
      </c>
      <c r="AQ25" s="20" t="str">
        <f t="shared" si="10"/>
        <v/>
      </c>
    </row>
    <row r="26" spans="1:43" ht="19.5" customHeight="1">
      <c r="A26" s="22">
        <v>11</v>
      </c>
      <c r="B26" s="215" t="s">
        <v>90</v>
      </c>
      <c r="C26" s="216" t="s">
        <v>90</v>
      </c>
      <c r="D26" s="216" t="s">
        <v>90</v>
      </c>
      <c r="E26" s="217" t="s">
        <v>90</v>
      </c>
      <c r="F26" s="23"/>
      <c r="G26" s="24"/>
      <c r="H26" s="24"/>
      <c r="I26" s="25"/>
      <c r="J26" s="26"/>
      <c r="K26" s="12" t="str">
        <f t="shared" si="0"/>
        <v/>
      </c>
      <c r="L26" s="21"/>
      <c r="M26" s="23"/>
      <c r="N26" s="24"/>
      <c r="O26" s="24"/>
      <c r="P26" s="25"/>
      <c r="Q26" s="26"/>
      <c r="R26" s="12" t="str">
        <f t="shared" si="1"/>
        <v/>
      </c>
      <c r="S26" s="13"/>
      <c r="T26" s="23"/>
      <c r="U26" s="24"/>
      <c r="V26" s="24"/>
      <c r="W26" s="25"/>
      <c r="X26" s="26"/>
      <c r="Y26" s="12" t="str">
        <f t="shared" si="2"/>
        <v/>
      </c>
      <c r="Z26" s="14"/>
      <c r="AA26" s="27"/>
      <c r="AB26" s="66"/>
      <c r="AC26" s="67"/>
      <c r="AD26" s="29"/>
      <c r="AE26" s="30"/>
      <c r="AF26" s="12" t="str">
        <f t="shared" si="3"/>
        <v/>
      </c>
      <c r="AG26" s="13"/>
      <c r="AH26" s="23" t="str">
        <f t="shared" si="4"/>
        <v/>
      </c>
      <c r="AI26" s="24" t="str">
        <f t="shared" si="5"/>
        <v/>
      </c>
      <c r="AJ26" s="24" t="str">
        <f t="shared" si="6"/>
        <v/>
      </c>
      <c r="AK26" s="24" t="str">
        <f t="shared" si="7"/>
        <v/>
      </c>
      <c r="AL26" s="31" t="str">
        <f t="shared" si="8"/>
        <v/>
      </c>
      <c r="AM26" s="8" t="str">
        <f t="shared" ref="AM26:AP26" si="20">IF(AH26=0,"",IF(AH26&lt;=10,"C",IF(AH26&lt;=13,"B",IF(AH26&lt;=17,"A",IF(AH26&lt;=20,"AD","")))))</f>
        <v/>
      </c>
      <c r="AN26" s="9" t="str">
        <f t="shared" si="20"/>
        <v/>
      </c>
      <c r="AO26" s="9" t="str">
        <f t="shared" si="20"/>
        <v/>
      </c>
      <c r="AP26" s="9" t="str">
        <f t="shared" si="20"/>
        <v/>
      </c>
      <c r="AQ26" s="20" t="str">
        <f t="shared" si="10"/>
        <v/>
      </c>
    </row>
    <row r="27" spans="1:43" ht="19.5" customHeight="1">
      <c r="A27" s="22">
        <v>12</v>
      </c>
      <c r="B27" s="213"/>
      <c r="C27" s="133"/>
      <c r="D27" s="133"/>
      <c r="E27" s="160"/>
      <c r="F27" s="23"/>
      <c r="G27" s="24"/>
      <c r="H27" s="24"/>
      <c r="I27" s="25"/>
      <c r="J27" s="26"/>
      <c r="K27" s="12" t="str">
        <f t="shared" si="0"/>
        <v/>
      </c>
      <c r="L27" s="13"/>
      <c r="M27" s="23"/>
      <c r="N27" s="24"/>
      <c r="O27" s="24"/>
      <c r="P27" s="25"/>
      <c r="Q27" s="26"/>
      <c r="R27" s="12" t="str">
        <f t="shared" si="1"/>
        <v/>
      </c>
      <c r="S27" s="13"/>
      <c r="T27" s="23"/>
      <c r="U27" s="24"/>
      <c r="V27" s="24"/>
      <c r="W27" s="25"/>
      <c r="X27" s="26"/>
      <c r="Y27" s="12" t="str">
        <f t="shared" si="2"/>
        <v/>
      </c>
      <c r="Z27" s="14"/>
      <c r="AA27" s="27"/>
      <c r="AB27" s="66"/>
      <c r="AC27" s="67"/>
      <c r="AD27" s="29"/>
      <c r="AE27" s="30"/>
      <c r="AF27" s="12" t="str">
        <f t="shared" si="3"/>
        <v/>
      </c>
      <c r="AG27" s="13"/>
      <c r="AH27" s="23" t="str">
        <f t="shared" si="4"/>
        <v/>
      </c>
      <c r="AI27" s="24" t="str">
        <f t="shared" si="5"/>
        <v/>
      </c>
      <c r="AJ27" s="24" t="str">
        <f t="shared" si="6"/>
        <v/>
      </c>
      <c r="AK27" s="24" t="str">
        <f t="shared" si="7"/>
        <v/>
      </c>
      <c r="AL27" s="31" t="str">
        <f t="shared" si="8"/>
        <v/>
      </c>
      <c r="AM27" s="8" t="str">
        <f t="shared" ref="AM27:AP27" si="21">IF(AH27=0,"",IF(AH27&lt;=10,"C",IF(AH27&lt;=13,"B",IF(AH27&lt;=17,"A",IF(AH27&lt;=20,"AD","")))))</f>
        <v/>
      </c>
      <c r="AN27" s="9" t="str">
        <f t="shared" si="21"/>
        <v/>
      </c>
      <c r="AO27" s="9" t="str">
        <f t="shared" si="21"/>
        <v/>
      </c>
      <c r="AP27" s="9" t="str">
        <f t="shared" si="21"/>
        <v/>
      </c>
      <c r="AQ27" s="20" t="str">
        <f t="shared" si="10"/>
        <v/>
      </c>
    </row>
    <row r="28" spans="1:43" ht="19.5" customHeight="1">
      <c r="A28" s="22">
        <v>13</v>
      </c>
      <c r="B28" s="213"/>
      <c r="C28" s="133"/>
      <c r="D28" s="133"/>
      <c r="E28" s="160"/>
      <c r="F28" s="23"/>
      <c r="G28" s="24"/>
      <c r="H28" s="24"/>
      <c r="I28" s="25"/>
      <c r="J28" s="26"/>
      <c r="K28" s="12" t="str">
        <f t="shared" si="0"/>
        <v/>
      </c>
      <c r="L28" s="13"/>
      <c r="M28" s="23"/>
      <c r="N28" s="24"/>
      <c r="O28" s="24"/>
      <c r="P28" s="25"/>
      <c r="Q28" s="26"/>
      <c r="R28" s="12" t="str">
        <f t="shared" si="1"/>
        <v/>
      </c>
      <c r="S28" s="13"/>
      <c r="T28" s="23"/>
      <c r="U28" s="24"/>
      <c r="V28" s="24"/>
      <c r="W28" s="25"/>
      <c r="X28" s="26"/>
      <c r="Y28" s="12" t="str">
        <f t="shared" si="2"/>
        <v/>
      </c>
      <c r="Z28" s="14"/>
      <c r="AA28" s="27"/>
      <c r="AB28" s="66"/>
      <c r="AC28" s="67"/>
      <c r="AD28" s="29"/>
      <c r="AE28" s="30"/>
      <c r="AF28" s="12" t="str">
        <f t="shared" si="3"/>
        <v/>
      </c>
      <c r="AG28" s="13"/>
      <c r="AH28" s="23" t="str">
        <f t="shared" si="4"/>
        <v/>
      </c>
      <c r="AI28" s="24" t="str">
        <f t="shared" si="5"/>
        <v/>
      </c>
      <c r="AJ28" s="24" t="str">
        <f t="shared" si="6"/>
        <v/>
      </c>
      <c r="AK28" s="24" t="str">
        <f t="shared" si="7"/>
        <v/>
      </c>
      <c r="AL28" s="31" t="str">
        <f t="shared" si="8"/>
        <v/>
      </c>
      <c r="AM28" s="8" t="str">
        <f t="shared" ref="AM28:AP28" si="22">IF(AH28=0,"",IF(AH28&lt;=10,"C",IF(AH28&lt;=13,"B",IF(AH28&lt;=17,"A",IF(AH28&lt;=20,"AD","")))))</f>
        <v/>
      </c>
      <c r="AN28" s="9" t="str">
        <f t="shared" si="22"/>
        <v/>
      </c>
      <c r="AO28" s="9" t="str">
        <f t="shared" si="22"/>
        <v/>
      </c>
      <c r="AP28" s="9" t="str">
        <f t="shared" si="22"/>
        <v/>
      </c>
      <c r="AQ28" s="20" t="str">
        <f t="shared" si="10"/>
        <v/>
      </c>
    </row>
    <row r="29" spans="1:43" ht="19.5" customHeight="1">
      <c r="A29" s="22">
        <v>14</v>
      </c>
      <c r="B29" s="214"/>
      <c r="C29" s="133"/>
      <c r="D29" s="133"/>
      <c r="E29" s="160"/>
      <c r="F29" s="23"/>
      <c r="G29" s="24"/>
      <c r="H29" s="24"/>
      <c r="I29" s="25"/>
      <c r="J29" s="26"/>
      <c r="K29" s="12" t="str">
        <f t="shared" si="0"/>
        <v/>
      </c>
      <c r="L29" s="14"/>
      <c r="M29" s="23"/>
      <c r="N29" s="24"/>
      <c r="O29" s="24"/>
      <c r="P29" s="25"/>
      <c r="Q29" s="26"/>
      <c r="R29" s="12" t="str">
        <f t="shared" si="1"/>
        <v/>
      </c>
      <c r="S29" s="14"/>
      <c r="T29" s="23"/>
      <c r="U29" s="24"/>
      <c r="V29" s="24"/>
      <c r="W29" s="25"/>
      <c r="X29" s="26"/>
      <c r="Y29" s="12" t="str">
        <f t="shared" si="2"/>
        <v/>
      </c>
      <c r="Z29" s="14"/>
      <c r="AA29" s="27"/>
      <c r="AB29" s="66"/>
      <c r="AC29" s="67"/>
      <c r="AD29" s="29"/>
      <c r="AE29" s="30"/>
      <c r="AF29" s="12" t="str">
        <f t="shared" si="3"/>
        <v/>
      </c>
      <c r="AG29" s="13"/>
      <c r="AH29" s="23" t="str">
        <f t="shared" si="4"/>
        <v/>
      </c>
      <c r="AI29" s="24" t="str">
        <f t="shared" si="5"/>
        <v/>
      </c>
      <c r="AJ29" s="24" t="str">
        <f t="shared" si="6"/>
        <v/>
      </c>
      <c r="AK29" s="24" t="str">
        <f t="shared" si="7"/>
        <v/>
      </c>
      <c r="AL29" s="31" t="str">
        <f t="shared" si="8"/>
        <v/>
      </c>
      <c r="AM29" s="8" t="str">
        <f t="shared" ref="AM29:AP29" si="23">IF(AH29=0,"",IF(AH29&lt;=10,"C",IF(AH29&lt;=13,"B",IF(AH29&lt;=17,"A",IF(AH29&lt;=20,"AD","")))))</f>
        <v/>
      </c>
      <c r="AN29" s="9" t="str">
        <f t="shared" si="23"/>
        <v/>
      </c>
      <c r="AO29" s="9" t="str">
        <f t="shared" si="23"/>
        <v/>
      </c>
      <c r="AP29" s="9" t="str">
        <f t="shared" si="23"/>
        <v/>
      </c>
      <c r="AQ29" s="20" t="str">
        <f t="shared" si="10"/>
        <v/>
      </c>
    </row>
    <row r="30" spans="1:43" ht="19.5" customHeight="1" thickBot="1">
      <c r="A30" s="32">
        <v>15</v>
      </c>
      <c r="B30" s="203"/>
      <c r="C30" s="112"/>
      <c r="D30" s="112"/>
      <c r="E30" s="113"/>
      <c r="F30" s="33"/>
      <c r="G30" s="34"/>
      <c r="H30" s="34"/>
      <c r="I30" s="35"/>
      <c r="J30" s="36"/>
      <c r="K30" s="12" t="str">
        <f t="shared" si="0"/>
        <v/>
      </c>
      <c r="L30" s="38"/>
      <c r="M30" s="33"/>
      <c r="N30" s="34"/>
      <c r="O30" s="34"/>
      <c r="P30" s="35"/>
      <c r="Q30" s="36"/>
      <c r="R30" s="12" t="str">
        <f t="shared" si="1"/>
        <v/>
      </c>
      <c r="S30" s="38"/>
      <c r="T30" s="33"/>
      <c r="U30" s="34"/>
      <c r="V30" s="34"/>
      <c r="W30" s="35"/>
      <c r="X30" s="36"/>
      <c r="Y30" s="12" t="str">
        <f t="shared" si="2"/>
        <v/>
      </c>
      <c r="Z30" s="38"/>
      <c r="AA30" s="33"/>
      <c r="AB30" s="34"/>
      <c r="AC30" s="34"/>
      <c r="AD30" s="35"/>
      <c r="AE30" s="36"/>
      <c r="AF30" s="12" t="str">
        <f t="shared" si="3"/>
        <v/>
      </c>
      <c r="AG30" s="38"/>
      <c r="AH30" s="33" t="str">
        <f t="shared" si="4"/>
        <v/>
      </c>
      <c r="AI30" s="34" t="str">
        <f t="shared" si="5"/>
        <v/>
      </c>
      <c r="AJ30" s="34" t="str">
        <f t="shared" si="6"/>
        <v/>
      </c>
      <c r="AK30" s="34" t="str">
        <f t="shared" si="7"/>
        <v/>
      </c>
      <c r="AL30" s="37" t="str">
        <f t="shared" si="8"/>
        <v/>
      </c>
      <c r="AM30" s="33" t="str">
        <f t="shared" ref="AM30:AP30" si="24">IF(AH30=0,"",IF(AH30&lt;=10,"C",IF(AH30&lt;=13,"B",IF(AH30&lt;=17,"A",IF(AH30&lt;=20,"AD","")))))</f>
        <v/>
      </c>
      <c r="AN30" s="34" t="str">
        <f t="shared" si="24"/>
        <v/>
      </c>
      <c r="AO30" s="34" t="str">
        <f t="shared" si="24"/>
        <v/>
      </c>
      <c r="AP30" s="34" t="str">
        <f t="shared" si="24"/>
        <v/>
      </c>
      <c r="AQ30" s="39" t="str">
        <f t="shared" si="10"/>
        <v/>
      </c>
    </row>
    <row r="31" spans="1:43" ht="15.75" customHeight="1">
      <c r="A31" s="40"/>
      <c r="B31" s="68"/>
      <c r="C31" s="68"/>
      <c r="D31" s="68"/>
      <c r="E31" s="68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2"/>
    </row>
    <row r="32" spans="1:43" ht="19.5" customHeight="1">
      <c r="A32" s="40"/>
      <c r="B32" s="41"/>
      <c r="C32" s="41"/>
      <c r="D32" s="41"/>
      <c r="E32" s="43" t="s">
        <v>24</v>
      </c>
      <c r="F32" s="91">
        <f>SUM(AL16:AL30)</f>
        <v>0</v>
      </c>
      <c r="G32" s="92"/>
      <c r="H32" s="41"/>
      <c r="I32" s="41"/>
      <c r="J32" s="41"/>
      <c r="K32" s="168" t="s">
        <v>25</v>
      </c>
      <c r="L32" s="169"/>
      <c r="M32" s="169"/>
      <c r="N32" s="170"/>
      <c r="O32" s="171">
        <v>13</v>
      </c>
      <c r="P32" s="169"/>
      <c r="Q32" s="170"/>
      <c r="R32" s="172">
        <f>O32/O32</f>
        <v>1</v>
      </c>
      <c r="S32" s="169"/>
      <c r="T32" s="92"/>
      <c r="U32" s="41"/>
      <c r="V32" s="41"/>
      <c r="W32" s="173" t="s">
        <v>26</v>
      </c>
      <c r="X32" s="169"/>
      <c r="Y32" s="170"/>
      <c r="Z32" s="44"/>
      <c r="AA32" s="45" t="s">
        <v>27</v>
      </c>
      <c r="AB32" s="174" t="s">
        <v>28</v>
      </c>
      <c r="AC32" s="92"/>
      <c r="AD32" s="6"/>
      <c r="AE32" s="6"/>
      <c r="AF32" s="6"/>
      <c r="AG32" s="6"/>
      <c r="AH32" s="41"/>
      <c r="AI32" s="41"/>
      <c r="AJ32" s="41"/>
      <c r="AK32" s="41"/>
      <c r="AL32" s="41"/>
      <c r="AM32" s="41"/>
      <c r="AN32" s="41"/>
      <c r="AO32" s="41"/>
      <c r="AP32" s="41"/>
      <c r="AQ32" s="42"/>
    </row>
    <row r="33" spans="1:43" ht="19.5" customHeight="1">
      <c r="A33" s="40"/>
      <c r="B33" s="41"/>
      <c r="C33" s="41"/>
      <c r="D33" s="41"/>
      <c r="E33" s="46" t="s">
        <v>29</v>
      </c>
      <c r="F33" s="180">
        <f>MAX(AL16:AL30)</f>
        <v>0</v>
      </c>
      <c r="G33" s="160"/>
      <c r="H33" s="41"/>
      <c r="I33" s="41"/>
      <c r="J33" s="41"/>
      <c r="K33" s="178" t="s">
        <v>30</v>
      </c>
      <c r="L33" s="133"/>
      <c r="M33" s="133"/>
      <c r="N33" s="134"/>
      <c r="O33" s="132">
        <f>COUNTIF(AL16:AL30,"&gt;0")</f>
        <v>0</v>
      </c>
      <c r="P33" s="133"/>
      <c r="Q33" s="134"/>
      <c r="R33" s="179">
        <f>O33/O32</f>
        <v>0</v>
      </c>
      <c r="S33" s="133"/>
      <c r="T33" s="160"/>
      <c r="U33" s="41"/>
      <c r="V33" s="41"/>
      <c r="W33" s="47" t="s">
        <v>31</v>
      </c>
      <c r="X33" s="132" t="s">
        <v>32</v>
      </c>
      <c r="Y33" s="134"/>
      <c r="Z33" s="48"/>
      <c r="AA33" s="49">
        <f>COUNTIFS(AL16:AL30,"&lt;=20",AL16:AL30,"&gt;=18")</f>
        <v>0</v>
      </c>
      <c r="AB33" s="179" t="e">
        <f t="shared" ref="AB33:AB36" si="25">AA33/$O$33</f>
        <v>#DIV/0!</v>
      </c>
      <c r="AC33" s="160"/>
      <c r="AD33" s="3"/>
      <c r="AE33" s="3"/>
      <c r="AF33" s="3"/>
      <c r="AG33" s="3"/>
      <c r="AH33" s="41"/>
      <c r="AI33" s="41"/>
      <c r="AJ33" s="41"/>
      <c r="AK33" s="41"/>
      <c r="AL33" s="41"/>
      <c r="AM33" s="41"/>
      <c r="AN33" s="41"/>
      <c r="AO33" s="41"/>
      <c r="AP33" s="41"/>
      <c r="AQ33" s="42"/>
    </row>
    <row r="34" spans="1:43" ht="19.5" customHeight="1">
      <c r="A34" s="40"/>
      <c r="B34" s="41"/>
      <c r="C34" s="41"/>
      <c r="D34" s="41"/>
      <c r="E34" s="46" t="s">
        <v>33</v>
      </c>
      <c r="F34" s="132"/>
      <c r="G34" s="160"/>
      <c r="H34" s="41"/>
      <c r="I34" s="41"/>
      <c r="J34" s="41"/>
      <c r="K34" s="178" t="s">
        <v>34</v>
      </c>
      <c r="L34" s="133"/>
      <c r="M34" s="133"/>
      <c r="N34" s="134"/>
      <c r="O34" s="132">
        <f>O32-O33</f>
        <v>13</v>
      </c>
      <c r="P34" s="133"/>
      <c r="Q34" s="134"/>
      <c r="R34" s="179">
        <f t="shared" ref="R34:R35" si="26">O34/O32</f>
        <v>1</v>
      </c>
      <c r="S34" s="133"/>
      <c r="T34" s="160"/>
      <c r="U34" s="41"/>
      <c r="V34" s="41"/>
      <c r="W34" s="47" t="s">
        <v>35</v>
      </c>
      <c r="X34" s="132" t="s">
        <v>36</v>
      </c>
      <c r="Y34" s="134"/>
      <c r="Z34" s="48"/>
      <c r="AA34" s="49">
        <f>COUNTIFS(AL16:AL30,"&lt;=17",AL16:AL30,"&gt;=14")</f>
        <v>0</v>
      </c>
      <c r="AB34" s="179" t="e">
        <f t="shared" si="25"/>
        <v>#DIV/0!</v>
      </c>
      <c r="AC34" s="160"/>
      <c r="AD34" s="3"/>
      <c r="AE34" s="3"/>
      <c r="AF34" s="3"/>
      <c r="AG34" s="3"/>
      <c r="AH34" s="41"/>
      <c r="AI34" s="41"/>
      <c r="AJ34" s="41"/>
      <c r="AK34" s="41"/>
      <c r="AL34" s="41"/>
      <c r="AM34" s="41"/>
      <c r="AN34" s="41"/>
      <c r="AO34" s="41"/>
      <c r="AP34" s="41"/>
      <c r="AQ34" s="42"/>
    </row>
    <row r="35" spans="1:43" ht="19.5" customHeight="1">
      <c r="A35" s="40"/>
      <c r="B35" s="41"/>
      <c r="C35" s="41"/>
      <c r="D35" s="41"/>
      <c r="E35" s="50" t="s">
        <v>37</v>
      </c>
      <c r="F35" s="166"/>
      <c r="G35" s="113"/>
      <c r="H35" s="41"/>
      <c r="I35" s="41"/>
      <c r="J35" s="41"/>
      <c r="K35" s="178" t="s">
        <v>38</v>
      </c>
      <c r="L35" s="133"/>
      <c r="M35" s="133"/>
      <c r="N35" s="134"/>
      <c r="O35" s="132">
        <f>COUNTIF(AL16:AL30,"&gt;=11")</f>
        <v>0</v>
      </c>
      <c r="P35" s="133"/>
      <c r="Q35" s="134"/>
      <c r="R35" s="179" t="e">
        <f t="shared" si="26"/>
        <v>#DIV/0!</v>
      </c>
      <c r="S35" s="133"/>
      <c r="T35" s="160"/>
      <c r="U35" s="41"/>
      <c r="V35" s="41"/>
      <c r="W35" s="47" t="s">
        <v>39</v>
      </c>
      <c r="X35" s="132" t="s">
        <v>40</v>
      </c>
      <c r="Y35" s="134"/>
      <c r="Z35" s="48"/>
      <c r="AA35" s="49">
        <f>COUNTIFS(AL16:AL30,"&lt;=13",AL16:AL30,"&gt;=11")</f>
        <v>0</v>
      </c>
      <c r="AB35" s="179" t="e">
        <f t="shared" si="25"/>
        <v>#DIV/0!</v>
      </c>
      <c r="AC35" s="160"/>
      <c r="AD35" s="3"/>
      <c r="AE35" s="3"/>
      <c r="AF35" s="3"/>
      <c r="AG35" s="3"/>
      <c r="AH35" s="41"/>
      <c r="AI35" s="41"/>
      <c r="AJ35" s="41"/>
      <c r="AK35" s="41"/>
      <c r="AL35" s="41"/>
      <c r="AM35" s="41"/>
      <c r="AN35" s="41"/>
      <c r="AO35" s="41"/>
      <c r="AP35" s="41"/>
      <c r="AQ35" s="42"/>
    </row>
    <row r="36" spans="1:43" ht="19.5" customHeight="1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177" t="s">
        <v>41</v>
      </c>
      <c r="L36" s="112"/>
      <c r="M36" s="112"/>
      <c r="N36" s="128"/>
      <c r="O36" s="166">
        <f>O33-O35</f>
        <v>0</v>
      </c>
      <c r="P36" s="112"/>
      <c r="Q36" s="128"/>
      <c r="R36" s="167" t="e">
        <f>O36/O33</f>
        <v>#DIV/0!</v>
      </c>
      <c r="S36" s="112"/>
      <c r="T36" s="113"/>
      <c r="U36" s="41"/>
      <c r="V36" s="41"/>
      <c r="W36" s="51" t="s">
        <v>42</v>
      </c>
      <c r="X36" s="166" t="s">
        <v>43</v>
      </c>
      <c r="Y36" s="128"/>
      <c r="Z36" s="52"/>
      <c r="AA36" s="53">
        <f>COUNTIFS(AL16:AL30,"&lt;=10",AL16:AL30,"&gt;=0")</f>
        <v>0</v>
      </c>
      <c r="AB36" s="167" t="e">
        <f t="shared" si="25"/>
        <v>#DIV/0!</v>
      </c>
      <c r="AC36" s="113"/>
      <c r="AD36" s="3"/>
      <c r="AE36" s="3"/>
      <c r="AF36" s="3"/>
      <c r="AG36" s="3"/>
      <c r="AH36" s="41"/>
      <c r="AI36" s="41"/>
      <c r="AJ36" s="41"/>
      <c r="AK36" s="41"/>
      <c r="AL36" s="41"/>
      <c r="AM36" s="41"/>
      <c r="AN36" s="41"/>
      <c r="AO36" s="41"/>
      <c r="AP36" s="41"/>
      <c r="AQ36" s="42"/>
    </row>
    <row r="37" spans="1:43" ht="15.75" customHeight="1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2"/>
    </row>
    <row r="38" spans="1:43" ht="19.5" customHeight="1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175" t="s">
        <v>44</v>
      </c>
      <c r="AE38" s="106"/>
      <c r="AF38" s="176">
        <v>7</v>
      </c>
      <c r="AG38" s="126"/>
      <c r="AH38" s="55">
        <v>8</v>
      </c>
      <c r="AI38" s="56">
        <v>25</v>
      </c>
      <c r="AJ38" s="41"/>
      <c r="AK38" s="41"/>
      <c r="AL38" s="41"/>
      <c r="AM38" s="41"/>
      <c r="AN38" s="41"/>
      <c r="AO38" s="41"/>
      <c r="AP38" s="41"/>
      <c r="AQ38" s="42"/>
    </row>
    <row r="39" spans="1:43" ht="15.75" customHeight="1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2"/>
    </row>
    <row r="40" spans="1:43" ht="15.75" customHeight="1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2"/>
    </row>
    <row r="41" spans="1:43" ht="15.75" customHeight="1">
      <c r="A41" s="57"/>
      <c r="B41" s="58"/>
      <c r="C41" s="58"/>
      <c r="D41" s="58"/>
      <c r="E41" s="59" t="s">
        <v>45</v>
      </c>
      <c r="F41" s="58"/>
      <c r="G41" s="58"/>
      <c r="H41" s="58"/>
      <c r="I41" s="58"/>
      <c r="J41" s="58"/>
      <c r="K41" s="58"/>
      <c r="L41" s="58"/>
      <c r="M41" s="58"/>
      <c r="N41" s="165" t="s">
        <v>46</v>
      </c>
      <c r="O41" s="112"/>
      <c r="P41" s="112"/>
      <c r="Q41" s="112"/>
      <c r="R41" s="112"/>
      <c r="S41" s="112"/>
      <c r="T41" s="112"/>
      <c r="U41" s="112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60"/>
    </row>
    <row r="42" spans="1:43" ht="15.75" customHeight="1"/>
    <row r="43" spans="1:43" ht="15.75" customHeight="1"/>
    <row r="44" spans="1:43" ht="15.75" customHeight="1"/>
    <row r="45" spans="1:43" ht="15.75" customHeight="1"/>
    <row r="46" spans="1:43" ht="15.75" customHeight="1"/>
    <row r="47" spans="1:43" ht="15.75" customHeight="1"/>
    <row r="48" spans="1:4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09">
    <mergeCell ref="AJ4:AQ4"/>
    <mergeCell ref="AM6:AM15"/>
    <mergeCell ref="AN6:AN15"/>
    <mergeCell ref="AO6:AO15"/>
    <mergeCell ref="AH4:AI4"/>
    <mergeCell ref="AL5:AL15"/>
    <mergeCell ref="AG5:AG15"/>
    <mergeCell ref="U8:U15"/>
    <mergeCell ref="V8:V15"/>
    <mergeCell ref="W8:W15"/>
    <mergeCell ref="X8:X15"/>
    <mergeCell ref="Y8:Y15"/>
    <mergeCell ref="AH3:AI3"/>
    <mergeCell ref="F1:AQ2"/>
    <mergeCell ref="A5:A15"/>
    <mergeCell ref="F5:AF5"/>
    <mergeCell ref="AP6:AP15"/>
    <mergeCell ref="K8:K15"/>
    <mergeCell ref="Z6:Z15"/>
    <mergeCell ref="AH5:AK5"/>
    <mergeCell ref="AM5:AP5"/>
    <mergeCell ref="F6:K7"/>
    <mergeCell ref="M6:R7"/>
    <mergeCell ref="T6:Y7"/>
    <mergeCell ref="AA6:AF7"/>
    <mergeCell ref="AH6:AH15"/>
    <mergeCell ref="AI6:AI15"/>
    <mergeCell ref="AJ6:AJ15"/>
    <mergeCell ref="AJ3:AQ3"/>
    <mergeCell ref="AQ5:AQ15"/>
    <mergeCell ref="AK6:AK15"/>
    <mergeCell ref="M8:M15"/>
    <mergeCell ref="N8:N15"/>
    <mergeCell ref="AD8:AD15"/>
    <mergeCell ref="AE8:AE15"/>
    <mergeCell ref="AF8:AF15"/>
    <mergeCell ref="F3:H3"/>
    <mergeCell ref="I3:N3"/>
    <mergeCell ref="O3:Q3"/>
    <mergeCell ref="R3:V3"/>
    <mergeCell ref="B5:E15"/>
    <mergeCell ref="F8:F15"/>
    <mergeCell ref="T8:T15"/>
    <mergeCell ref="W3:AA3"/>
    <mergeCell ref="AB3:AE3"/>
    <mergeCell ref="I4:V4"/>
    <mergeCell ref="W4:AA4"/>
    <mergeCell ref="AB4:AE4"/>
    <mergeCell ref="B28:E28"/>
    <mergeCell ref="B29:E29"/>
    <mergeCell ref="A1:D4"/>
    <mergeCell ref="B22:E22"/>
    <mergeCell ref="B23:E23"/>
    <mergeCell ref="B24:E24"/>
    <mergeCell ref="B25:E25"/>
    <mergeCell ref="B26:E26"/>
    <mergeCell ref="B27:E27"/>
    <mergeCell ref="B21:E21"/>
    <mergeCell ref="B17:E17"/>
    <mergeCell ref="B18:E18"/>
    <mergeCell ref="AA8:AA15"/>
    <mergeCell ref="AB8:AB15"/>
    <mergeCell ref="AC8:AC15"/>
    <mergeCell ref="L6:L15"/>
    <mergeCell ref="B19:E19"/>
    <mergeCell ref="B20:E20"/>
    <mergeCell ref="B16:E16"/>
    <mergeCell ref="O8:O15"/>
    <mergeCell ref="P8:P15"/>
    <mergeCell ref="G8:G15"/>
    <mergeCell ref="R8:R15"/>
    <mergeCell ref="S6:S15"/>
    <mergeCell ref="I8:I15"/>
    <mergeCell ref="J8:J15"/>
    <mergeCell ref="Q8:Q15"/>
    <mergeCell ref="H8:H15"/>
    <mergeCell ref="B30:E30"/>
    <mergeCell ref="K32:N32"/>
    <mergeCell ref="O32:Q32"/>
    <mergeCell ref="R32:T32"/>
    <mergeCell ref="O35:Q35"/>
    <mergeCell ref="R35:T35"/>
    <mergeCell ref="O34:Q34"/>
    <mergeCell ref="R34:T34"/>
    <mergeCell ref="O33:Q33"/>
    <mergeCell ref="R33:T33"/>
    <mergeCell ref="F33:G33"/>
    <mergeCell ref="F32:G32"/>
    <mergeCell ref="AF38:AG38"/>
    <mergeCell ref="X34:Y34"/>
    <mergeCell ref="X33:Y33"/>
    <mergeCell ref="K36:N36"/>
    <mergeCell ref="K35:N35"/>
    <mergeCell ref="F34:G34"/>
    <mergeCell ref="K34:N34"/>
    <mergeCell ref="K33:N33"/>
    <mergeCell ref="AB36:AC36"/>
    <mergeCell ref="AB35:AC35"/>
    <mergeCell ref="AB34:AC34"/>
    <mergeCell ref="AB32:AC32"/>
    <mergeCell ref="AB33:AC33"/>
    <mergeCell ref="N41:U41"/>
    <mergeCell ref="O36:Q36"/>
    <mergeCell ref="R36:T36"/>
    <mergeCell ref="X36:Y36"/>
    <mergeCell ref="W32:Y32"/>
    <mergeCell ref="AD38:AE38"/>
    <mergeCell ref="F35:G35"/>
    <mergeCell ref="X35:Y35"/>
  </mergeCells>
  <conditionalFormatting sqref="K16:K29 Y16:Y29 F30:K30 R16:R29 T30:Y30 M30:R30 AA30:AE30 AH16:AL30 AF16:AF30">
    <cfRule type="cellIs" dxfId="121" priority="1" operator="equal">
      <formula>10.5</formula>
    </cfRule>
  </conditionalFormatting>
  <conditionalFormatting sqref="K16:K29 Y16:Y29 F30:K30 R16:R29 T30:Y30 M30:R30 AA30:AE30 AH16:AL30 AF16:AF30">
    <cfRule type="cellIs" dxfId="120" priority="2" operator="lessThan">
      <formula>0</formula>
    </cfRule>
  </conditionalFormatting>
  <conditionalFormatting sqref="K16:K29 Y16:Y29 F30:K30 R16:R29 T30:Y30 M30:R30 AA30:AE30 AH16:AL30 AF16:AF30">
    <cfRule type="cellIs" dxfId="119" priority="3" operator="lessThan">
      <formula>10.5</formula>
    </cfRule>
  </conditionalFormatting>
  <conditionalFormatting sqref="K16:K29 Y16:Y29 F30:K30 R16:R29 T30:Y30 M30:R30 AA30:AE30 AH16:AL30 AF16:AF30">
    <cfRule type="cellIs" dxfId="118" priority="4" operator="greaterThan">
      <formula>20</formula>
    </cfRule>
  </conditionalFormatting>
  <conditionalFormatting sqref="K16:K29 Y16:Y29 F30:K30 R16:R29 T30:Y30 M30:R30 AA30:AE30 AH16:AL30 AF16:AF30">
    <cfRule type="cellIs" dxfId="117" priority="5" operator="greaterThan">
      <formula>10.5</formula>
    </cfRule>
  </conditionalFormatting>
  <conditionalFormatting sqref="AM16:AQ30">
    <cfRule type="cellIs" dxfId="116" priority="21" operator="equal">
      <formula>"C"</formula>
    </cfRule>
  </conditionalFormatting>
  <conditionalFormatting sqref="AM16:AQ30">
    <cfRule type="cellIs" dxfId="115" priority="22" operator="equal">
      <formula>"B"</formula>
    </cfRule>
  </conditionalFormatting>
  <conditionalFormatting sqref="AM16:AQ30">
    <cfRule type="cellIs" dxfId="114" priority="23" operator="equal">
      <formula>"A"</formula>
    </cfRule>
  </conditionalFormatting>
  <conditionalFormatting sqref="AM16:AQ30">
    <cfRule type="cellIs" dxfId="113" priority="24" operator="equal">
      <formula>"AD"</formula>
    </cfRule>
  </conditionalFormatting>
  <conditionalFormatting sqref="F16:J29">
    <cfRule type="cellIs" dxfId="112" priority="35" operator="equal">
      <formula>10.5</formula>
    </cfRule>
  </conditionalFormatting>
  <conditionalFormatting sqref="F16:J29">
    <cfRule type="cellIs" dxfId="111" priority="36" operator="lessThan">
      <formula>0</formula>
    </cfRule>
  </conditionalFormatting>
  <conditionalFormatting sqref="F16:J29">
    <cfRule type="cellIs" dxfId="110" priority="37" operator="lessThan">
      <formula>10.5</formula>
    </cfRule>
  </conditionalFormatting>
  <conditionalFormatting sqref="F16:J29">
    <cfRule type="cellIs" dxfId="109" priority="38" operator="greaterThan">
      <formula>20</formula>
    </cfRule>
  </conditionalFormatting>
  <conditionalFormatting sqref="F16:J29">
    <cfRule type="cellIs" dxfId="108" priority="39" operator="greaterThan">
      <formula>10.5</formula>
    </cfRule>
  </conditionalFormatting>
  <conditionalFormatting sqref="M19">
    <cfRule type="cellIs" dxfId="107" priority="40" operator="equal">
      <formula>10.5</formula>
    </cfRule>
  </conditionalFormatting>
  <conditionalFormatting sqref="M19">
    <cfRule type="cellIs" dxfId="106" priority="41" operator="lessThan">
      <formula>0</formula>
    </cfRule>
  </conditionalFormatting>
  <conditionalFormatting sqref="M19">
    <cfRule type="cellIs" dxfId="105" priority="42" operator="lessThan">
      <formula>10.5</formula>
    </cfRule>
  </conditionalFormatting>
  <conditionalFormatting sqref="M19">
    <cfRule type="cellIs" dxfId="104" priority="43" operator="greaterThan">
      <formula>20</formula>
    </cfRule>
  </conditionalFormatting>
  <conditionalFormatting sqref="M19">
    <cfRule type="cellIs" dxfId="103" priority="44" operator="greaterThan">
      <formula>10.5</formula>
    </cfRule>
  </conditionalFormatting>
  <conditionalFormatting sqref="N19:Q19 Q16:Q18 Q20:Q29">
    <cfRule type="cellIs" dxfId="102" priority="45" operator="equal">
      <formula>10.5</formula>
    </cfRule>
  </conditionalFormatting>
  <conditionalFormatting sqref="N19:Q19 Q16:Q18 Q20:Q29">
    <cfRule type="cellIs" dxfId="101" priority="46" operator="lessThan">
      <formula>0</formula>
    </cfRule>
  </conditionalFormatting>
  <conditionalFormatting sqref="N19:Q19 Q16:Q18 Q20:Q29">
    <cfRule type="cellIs" dxfId="100" priority="47" operator="lessThan">
      <formula>10.5</formula>
    </cfRule>
  </conditionalFormatting>
  <conditionalFormatting sqref="N19:Q19 Q16:Q18 Q20:Q29">
    <cfRule type="cellIs" dxfId="99" priority="48" operator="greaterThan">
      <formula>20</formula>
    </cfRule>
  </conditionalFormatting>
  <conditionalFormatting sqref="N19:Q19 Q16:Q18 Q20:Q29">
    <cfRule type="cellIs" dxfId="98" priority="49" operator="greaterThan">
      <formula>10.5</formula>
    </cfRule>
  </conditionalFormatting>
  <conditionalFormatting sqref="M16:P18">
    <cfRule type="cellIs" dxfId="97" priority="50" operator="equal">
      <formula>10.5</formula>
    </cfRule>
  </conditionalFormatting>
  <conditionalFormatting sqref="M16:P18">
    <cfRule type="cellIs" dxfId="96" priority="51" operator="lessThan">
      <formula>0</formula>
    </cfRule>
  </conditionalFormatting>
  <conditionalFormatting sqref="M16:P18">
    <cfRule type="cellIs" dxfId="95" priority="52" operator="lessThan">
      <formula>10.5</formula>
    </cfRule>
  </conditionalFormatting>
  <conditionalFormatting sqref="M16:P18">
    <cfRule type="cellIs" dxfId="94" priority="53" operator="greaterThan">
      <formula>20</formula>
    </cfRule>
  </conditionalFormatting>
  <conditionalFormatting sqref="M16:P18">
    <cfRule type="cellIs" dxfId="93" priority="54" operator="greaterThan">
      <formula>10.5</formula>
    </cfRule>
  </conditionalFormatting>
  <conditionalFormatting sqref="M20:P29">
    <cfRule type="cellIs" dxfId="92" priority="55" operator="equal">
      <formula>10.5</formula>
    </cfRule>
  </conditionalFormatting>
  <conditionalFormatting sqref="M20:P29">
    <cfRule type="cellIs" dxfId="91" priority="56" operator="lessThan">
      <formula>0</formula>
    </cfRule>
  </conditionalFormatting>
  <conditionalFormatting sqref="M20:P29">
    <cfRule type="cellIs" dxfId="90" priority="57" operator="lessThan">
      <formula>10.5</formula>
    </cfRule>
  </conditionalFormatting>
  <conditionalFormatting sqref="M20:P29">
    <cfRule type="cellIs" dxfId="89" priority="58" operator="greaterThan">
      <formula>20</formula>
    </cfRule>
  </conditionalFormatting>
  <conditionalFormatting sqref="M20:P29">
    <cfRule type="cellIs" dxfId="88" priority="59" operator="greaterThan">
      <formula>10.5</formula>
    </cfRule>
  </conditionalFormatting>
  <conditionalFormatting sqref="T29:X29">
    <cfRule type="cellIs" dxfId="87" priority="60" operator="equal">
      <formula>10.5</formula>
    </cfRule>
  </conditionalFormatting>
  <conditionalFormatting sqref="T29:X29">
    <cfRule type="cellIs" dxfId="86" priority="61" operator="lessThan">
      <formula>0</formula>
    </cfRule>
  </conditionalFormatting>
  <conditionalFormatting sqref="T29:X29">
    <cfRule type="cellIs" dxfId="85" priority="62" operator="lessThan">
      <formula>10.5</formula>
    </cfRule>
  </conditionalFormatting>
  <conditionalFormatting sqref="T29:X29">
    <cfRule type="cellIs" dxfId="84" priority="63" operator="greaterThan">
      <formula>20</formula>
    </cfRule>
  </conditionalFormatting>
  <conditionalFormatting sqref="T29:X29">
    <cfRule type="cellIs" dxfId="83" priority="64" operator="greaterThan">
      <formula>10.5</formula>
    </cfRule>
  </conditionalFormatting>
  <conditionalFormatting sqref="AA16:AE29">
    <cfRule type="cellIs" dxfId="82" priority="65" operator="equal">
      <formula>10.5</formula>
    </cfRule>
  </conditionalFormatting>
  <conditionalFormatting sqref="AA16:AE29">
    <cfRule type="cellIs" dxfId="81" priority="66" operator="lessThan">
      <formula>0</formula>
    </cfRule>
  </conditionalFormatting>
  <conditionalFormatting sqref="AA16:AE29">
    <cfRule type="cellIs" dxfId="80" priority="67" operator="lessThan">
      <formula>10.5</formula>
    </cfRule>
  </conditionalFormatting>
  <conditionalFormatting sqref="AA16:AE29">
    <cfRule type="cellIs" dxfId="79" priority="68" operator="greaterThan">
      <formula>20</formula>
    </cfRule>
  </conditionalFormatting>
  <conditionalFormatting sqref="AA16:AE29">
    <cfRule type="cellIs" dxfId="78" priority="69" operator="greaterThan">
      <formula>10.5</formula>
    </cfRule>
  </conditionalFormatting>
  <conditionalFormatting sqref="T19">
    <cfRule type="cellIs" dxfId="77" priority="70" operator="equal">
      <formula>10.5</formula>
    </cfRule>
  </conditionalFormatting>
  <conditionalFormatting sqref="T19">
    <cfRule type="cellIs" dxfId="76" priority="71" operator="lessThan">
      <formula>0</formula>
    </cfRule>
  </conditionalFormatting>
  <conditionalFormatting sqref="T19">
    <cfRule type="cellIs" dxfId="75" priority="72" operator="lessThan">
      <formula>10.5</formula>
    </cfRule>
  </conditionalFormatting>
  <conditionalFormatting sqref="T19">
    <cfRule type="cellIs" dxfId="74" priority="73" operator="greaterThan">
      <formula>20</formula>
    </cfRule>
  </conditionalFormatting>
  <conditionalFormatting sqref="T19">
    <cfRule type="cellIs" dxfId="73" priority="74" operator="greaterThan">
      <formula>10.5</formula>
    </cfRule>
  </conditionalFormatting>
  <conditionalFormatting sqref="U19:X19 X16:X18 X20:X28">
    <cfRule type="cellIs" dxfId="72" priority="75" operator="equal">
      <formula>10.5</formula>
    </cfRule>
  </conditionalFormatting>
  <conditionalFormatting sqref="U19:X19 X16:X18 X20:X28">
    <cfRule type="cellIs" dxfId="71" priority="76" operator="lessThan">
      <formula>0</formula>
    </cfRule>
  </conditionalFormatting>
  <conditionalFormatting sqref="U19:X19 X16:X18 X20:X28">
    <cfRule type="cellIs" dxfId="70" priority="77" operator="lessThan">
      <formula>10.5</formula>
    </cfRule>
  </conditionalFormatting>
  <conditionalFormatting sqref="U19:X19 X16:X18 X20:X28">
    <cfRule type="cellIs" dxfId="69" priority="78" operator="greaterThan">
      <formula>20</formula>
    </cfRule>
  </conditionalFormatting>
  <conditionalFormatting sqref="U19:X19 X16:X18 X20:X28">
    <cfRule type="cellIs" dxfId="68" priority="79" operator="greaterThan">
      <formula>10.5</formula>
    </cfRule>
  </conditionalFormatting>
  <conditionalFormatting sqref="T16:W18">
    <cfRule type="cellIs" dxfId="67" priority="80" operator="equal">
      <formula>10.5</formula>
    </cfRule>
  </conditionalFormatting>
  <conditionalFormatting sqref="T16:W18">
    <cfRule type="cellIs" dxfId="66" priority="81" operator="lessThan">
      <formula>0</formula>
    </cfRule>
  </conditionalFormatting>
  <conditionalFormatting sqref="T16:W18">
    <cfRule type="cellIs" dxfId="65" priority="82" operator="lessThan">
      <formula>10.5</formula>
    </cfRule>
  </conditionalFormatting>
  <conditionalFormatting sqref="T16:W18">
    <cfRule type="cellIs" dxfId="64" priority="83" operator="greaterThan">
      <formula>20</formula>
    </cfRule>
  </conditionalFormatting>
  <conditionalFormatting sqref="T16:W18">
    <cfRule type="cellIs" dxfId="63" priority="84" operator="greaterThan">
      <formula>10.5</formula>
    </cfRule>
  </conditionalFormatting>
  <conditionalFormatting sqref="T20:W28">
    <cfRule type="cellIs" dxfId="62" priority="85" operator="equal">
      <formula>10.5</formula>
    </cfRule>
  </conditionalFormatting>
  <conditionalFormatting sqref="T20:W28">
    <cfRule type="cellIs" dxfId="61" priority="86" operator="lessThan">
      <formula>0</formula>
    </cfRule>
  </conditionalFormatting>
  <conditionalFormatting sqref="T20:W28">
    <cfRule type="cellIs" dxfId="60" priority="87" operator="lessThan">
      <formula>10.5</formula>
    </cfRule>
  </conditionalFormatting>
  <conditionalFormatting sqref="T20:W28">
    <cfRule type="cellIs" dxfId="59" priority="88" operator="greaterThan">
      <formula>20</formula>
    </cfRule>
  </conditionalFormatting>
  <conditionalFormatting sqref="T20:W28">
    <cfRule type="cellIs" dxfId="58" priority="89" operator="greaterThan">
      <formula>10.5</formula>
    </cfRule>
  </conditionalFormatting>
  <printOptions horizontalCentered="1" verticalCentered="1"/>
  <pageMargins left="0" right="0" top="0" bottom="0" header="0" footer="0"/>
  <pageSetup paperSize="9" scale="5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95"/>
  <sheetViews>
    <sheetView topLeftCell="N1" workbookViewId="0">
      <selection activeCell="AE8" sqref="AE8:AE15"/>
    </sheetView>
  </sheetViews>
  <sheetFormatPr baseColWidth="10" defaultColWidth="14.42578125" defaultRowHeight="15" customHeight="1"/>
  <cols>
    <col min="1" max="4" width="3.5703125" customWidth="1"/>
    <col min="5" max="5" width="37.85546875" customWidth="1"/>
    <col min="6" max="10" width="4.7109375" customWidth="1"/>
    <col min="11" max="11" width="6.7109375" customWidth="1"/>
    <col min="12" max="12" width="36.85546875" customWidth="1"/>
    <col min="13" max="17" width="4.7109375" customWidth="1"/>
    <col min="18" max="18" width="6.7109375" customWidth="1"/>
    <col min="19" max="19" width="36.85546875" customWidth="1"/>
    <col min="20" max="24" width="4.7109375" customWidth="1"/>
    <col min="25" max="25" width="6.7109375" customWidth="1"/>
    <col min="26" max="26" width="38" customWidth="1"/>
    <col min="27" max="31" width="4.7109375" customWidth="1"/>
    <col min="32" max="32" width="6.7109375" customWidth="1"/>
    <col min="33" max="33" width="38.42578125" customWidth="1"/>
    <col min="34" max="43" width="6.7109375" customWidth="1"/>
    <col min="44" max="44" width="10.7109375" customWidth="1"/>
  </cols>
  <sheetData>
    <row r="1" spans="1:43" ht="24.75" customHeight="1">
      <c r="A1" s="117"/>
      <c r="B1" s="103"/>
      <c r="C1" s="103"/>
      <c r="D1" s="103"/>
      <c r="E1" s="1" t="s">
        <v>0</v>
      </c>
      <c r="F1" s="130" t="s">
        <v>106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4"/>
    </row>
    <row r="2" spans="1:43" ht="24.75" customHeight="1">
      <c r="A2" s="118"/>
      <c r="B2" s="106"/>
      <c r="C2" s="106"/>
      <c r="D2" s="106"/>
      <c r="E2" s="2" t="s">
        <v>1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7"/>
    </row>
    <row r="3" spans="1:43" ht="19.5" customHeight="1">
      <c r="A3" s="118"/>
      <c r="B3" s="106"/>
      <c r="C3" s="106"/>
      <c r="D3" s="106"/>
      <c r="E3" s="2" t="s">
        <v>2</v>
      </c>
      <c r="F3" s="131" t="s">
        <v>3</v>
      </c>
      <c r="G3" s="106"/>
      <c r="H3" s="106"/>
      <c r="I3" s="132" t="s">
        <v>4</v>
      </c>
      <c r="J3" s="133"/>
      <c r="K3" s="133"/>
      <c r="L3" s="133"/>
      <c r="M3" s="133"/>
      <c r="N3" s="134"/>
      <c r="O3" s="135" t="s">
        <v>5</v>
      </c>
      <c r="P3" s="136"/>
      <c r="Q3" s="137"/>
      <c r="R3" s="132" t="s">
        <v>50</v>
      </c>
      <c r="S3" s="133"/>
      <c r="T3" s="133"/>
      <c r="U3" s="133"/>
      <c r="V3" s="134"/>
      <c r="W3" s="131" t="s">
        <v>7</v>
      </c>
      <c r="X3" s="106"/>
      <c r="Y3" s="106"/>
      <c r="Z3" s="106"/>
      <c r="AA3" s="106"/>
      <c r="AB3" s="132" t="s">
        <v>8</v>
      </c>
      <c r="AC3" s="133"/>
      <c r="AD3" s="133"/>
      <c r="AE3" s="134"/>
      <c r="AF3" s="3"/>
      <c r="AG3" s="3"/>
      <c r="AH3" s="131" t="s">
        <v>9</v>
      </c>
      <c r="AI3" s="106"/>
      <c r="AJ3" s="159"/>
      <c r="AK3" s="133"/>
      <c r="AL3" s="133"/>
      <c r="AM3" s="133"/>
      <c r="AN3" s="133"/>
      <c r="AO3" s="133"/>
      <c r="AP3" s="133"/>
      <c r="AQ3" s="160"/>
    </row>
    <row r="4" spans="1:43" ht="19.5" customHeight="1" thickBot="1">
      <c r="A4" s="119"/>
      <c r="B4" s="109"/>
      <c r="C4" s="109"/>
      <c r="D4" s="109"/>
      <c r="E4" s="4" t="s">
        <v>10</v>
      </c>
      <c r="F4" s="5" t="s">
        <v>11</v>
      </c>
      <c r="G4" s="5"/>
      <c r="H4" s="5"/>
      <c r="I4" s="127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28"/>
      <c r="W4" s="129" t="s">
        <v>13</v>
      </c>
      <c r="X4" s="109"/>
      <c r="Y4" s="109"/>
      <c r="Z4" s="109"/>
      <c r="AA4" s="109"/>
      <c r="AB4" s="127" t="s">
        <v>12</v>
      </c>
      <c r="AC4" s="112"/>
      <c r="AD4" s="112"/>
      <c r="AE4" s="128"/>
      <c r="AF4" s="6"/>
      <c r="AG4" s="6"/>
      <c r="AH4" s="129" t="s">
        <v>14</v>
      </c>
      <c r="AI4" s="109"/>
      <c r="AJ4" s="127"/>
      <c r="AK4" s="112"/>
      <c r="AL4" s="112"/>
      <c r="AM4" s="112"/>
      <c r="AN4" s="112"/>
      <c r="AO4" s="112"/>
      <c r="AP4" s="112"/>
      <c r="AQ4" s="113"/>
    </row>
    <row r="5" spans="1:43" ht="19.5" customHeight="1" thickBot="1">
      <c r="A5" s="99" t="s">
        <v>15</v>
      </c>
      <c r="B5" s="102" t="s">
        <v>16</v>
      </c>
      <c r="C5" s="103"/>
      <c r="D5" s="103"/>
      <c r="E5" s="104"/>
      <c r="F5" s="124" t="s">
        <v>17</v>
      </c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6"/>
      <c r="AG5" s="138" t="s">
        <v>18</v>
      </c>
      <c r="AH5" s="162" t="s">
        <v>19</v>
      </c>
      <c r="AI5" s="125"/>
      <c r="AJ5" s="125"/>
      <c r="AK5" s="163"/>
      <c r="AL5" s="145" t="s">
        <v>20</v>
      </c>
      <c r="AM5" s="162" t="s">
        <v>21</v>
      </c>
      <c r="AN5" s="125"/>
      <c r="AO5" s="125"/>
      <c r="AP5" s="163"/>
      <c r="AQ5" s="145" t="s">
        <v>22</v>
      </c>
    </row>
    <row r="6" spans="1:43" ht="19.5" customHeight="1">
      <c r="A6" s="100"/>
      <c r="B6" s="105"/>
      <c r="C6" s="106"/>
      <c r="D6" s="106"/>
      <c r="E6" s="107"/>
      <c r="F6" s="148"/>
      <c r="G6" s="149"/>
      <c r="H6" s="149"/>
      <c r="I6" s="149"/>
      <c r="J6" s="149"/>
      <c r="K6" s="150"/>
      <c r="L6" s="157" t="s">
        <v>18</v>
      </c>
      <c r="M6" s="148"/>
      <c r="N6" s="149"/>
      <c r="O6" s="149"/>
      <c r="P6" s="149"/>
      <c r="Q6" s="149"/>
      <c r="R6" s="150"/>
      <c r="S6" s="157" t="s">
        <v>18</v>
      </c>
      <c r="T6" s="148"/>
      <c r="U6" s="149"/>
      <c r="V6" s="149"/>
      <c r="W6" s="149"/>
      <c r="X6" s="149"/>
      <c r="Y6" s="150"/>
      <c r="Z6" s="69"/>
      <c r="AA6" s="148"/>
      <c r="AB6" s="149"/>
      <c r="AC6" s="149"/>
      <c r="AD6" s="149"/>
      <c r="AE6" s="149"/>
      <c r="AF6" s="150"/>
      <c r="AG6" s="139"/>
      <c r="AH6" s="164"/>
      <c r="AI6" s="158"/>
      <c r="AJ6" s="158"/>
      <c r="AK6" s="161"/>
      <c r="AL6" s="146"/>
      <c r="AM6" s="164"/>
      <c r="AN6" s="158"/>
      <c r="AO6" s="158"/>
      <c r="AP6" s="161"/>
      <c r="AQ6" s="146"/>
    </row>
    <row r="7" spans="1:43" ht="57" customHeight="1" thickBot="1">
      <c r="A7" s="100"/>
      <c r="B7" s="105"/>
      <c r="C7" s="106"/>
      <c r="D7" s="106"/>
      <c r="E7" s="107"/>
      <c r="F7" s="151"/>
      <c r="G7" s="152"/>
      <c r="H7" s="152"/>
      <c r="I7" s="152"/>
      <c r="J7" s="152"/>
      <c r="K7" s="140"/>
      <c r="L7" s="146"/>
      <c r="M7" s="151"/>
      <c r="N7" s="152"/>
      <c r="O7" s="152"/>
      <c r="P7" s="152"/>
      <c r="Q7" s="152"/>
      <c r="R7" s="140"/>
      <c r="S7" s="146"/>
      <c r="T7" s="151"/>
      <c r="U7" s="152"/>
      <c r="V7" s="152"/>
      <c r="W7" s="152"/>
      <c r="X7" s="152"/>
      <c r="Y7" s="140"/>
      <c r="Z7" s="218" t="s">
        <v>18</v>
      </c>
      <c r="AA7" s="151"/>
      <c r="AB7" s="152"/>
      <c r="AC7" s="152"/>
      <c r="AD7" s="152"/>
      <c r="AE7" s="152"/>
      <c r="AF7" s="140"/>
      <c r="AG7" s="139"/>
      <c r="AH7" s="100"/>
      <c r="AI7" s="122"/>
      <c r="AJ7" s="122"/>
      <c r="AK7" s="122"/>
      <c r="AL7" s="146"/>
      <c r="AM7" s="100"/>
      <c r="AN7" s="122"/>
      <c r="AO7" s="122"/>
      <c r="AP7" s="122"/>
      <c r="AQ7" s="146"/>
    </row>
    <row r="8" spans="1:43" ht="19.5" customHeight="1">
      <c r="A8" s="100"/>
      <c r="B8" s="105"/>
      <c r="C8" s="106"/>
      <c r="D8" s="106"/>
      <c r="E8" s="107"/>
      <c r="F8" s="120"/>
      <c r="G8" s="121"/>
      <c r="H8" s="141"/>
      <c r="I8" s="141"/>
      <c r="J8" s="142"/>
      <c r="K8" s="145" t="s">
        <v>23</v>
      </c>
      <c r="L8" s="146"/>
      <c r="M8" s="120"/>
      <c r="N8" s="121"/>
      <c r="O8" s="141"/>
      <c r="P8" s="141"/>
      <c r="Q8" s="142"/>
      <c r="R8" s="145" t="s">
        <v>23</v>
      </c>
      <c r="S8" s="146"/>
      <c r="T8" s="120"/>
      <c r="U8" s="121"/>
      <c r="V8" s="141"/>
      <c r="W8" s="141"/>
      <c r="X8" s="142"/>
      <c r="Y8" s="145" t="s">
        <v>23</v>
      </c>
      <c r="Z8" s="146"/>
      <c r="AA8" s="120"/>
      <c r="AB8" s="121"/>
      <c r="AC8" s="141"/>
      <c r="AD8" s="141"/>
      <c r="AE8" s="225"/>
      <c r="AF8" s="145" t="s">
        <v>23</v>
      </c>
      <c r="AG8" s="139"/>
      <c r="AH8" s="100"/>
      <c r="AI8" s="122"/>
      <c r="AJ8" s="122"/>
      <c r="AK8" s="122"/>
      <c r="AL8" s="146"/>
      <c r="AM8" s="100"/>
      <c r="AN8" s="122"/>
      <c r="AO8" s="122"/>
      <c r="AP8" s="122"/>
      <c r="AQ8" s="146"/>
    </row>
    <row r="9" spans="1:43" ht="19.5" customHeight="1">
      <c r="A9" s="100"/>
      <c r="B9" s="105"/>
      <c r="C9" s="106"/>
      <c r="D9" s="106"/>
      <c r="E9" s="107"/>
      <c r="F9" s="100"/>
      <c r="G9" s="122"/>
      <c r="H9" s="105"/>
      <c r="I9" s="105"/>
      <c r="J9" s="143"/>
      <c r="K9" s="146"/>
      <c r="L9" s="146"/>
      <c r="M9" s="100"/>
      <c r="N9" s="122"/>
      <c r="O9" s="105"/>
      <c r="P9" s="105"/>
      <c r="Q9" s="143"/>
      <c r="R9" s="146"/>
      <c r="S9" s="146"/>
      <c r="T9" s="100"/>
      <c r="U9" s="122"/>
      <c r="V9" s="105"/>
      <c r="W9" s="105"/>
      <c r="X9" s="143"/>
      <c r="Y9" s="146"/>
      <c r="Z9" s="146"/>
      <c r="AA9" s="100"/>
      <c r="AB9" s="122"/>
      <c r="AC9" s="105"/>
      <c r="AD9" s="105"/>
      <c r="AE9" s="226"/>
      <c r="AF9" s="146"/>
      <c r="AG9" s="139"/>
      <c r="AH9" s="100"/>
      <c r="AI9" s="122"/>
      <c r="AJ9" s="122"/>
      <c r="AK9" s="122"/>
      <c r="AL9" s="146"/>
      <c r="AM9" s="100"/>
      <c r="AN9" s="122"/>
      <c r="AO9" s="122"/>
      <c r="AP9" s="122"/>
      <c r="AQ9" s="146"/>
    </row>
    <row r="10" spans="1:43" ht="19.5" customHeight="1">
      <c r="A10" s="100"/>
      <c r="B10" s="105"/>
      <c r="C10" s="106"/>
      <c r="D10" s="106"/>
      <c r="E10" s="107"/>
      <c r="F10" s="100"/>
      <c r="G10" s="122"/>
      <c r="H10" s="105"/>
      <c r="I10" s="105"/>
      <c r="J10" s="143"/>
      <c r="K10" s="146"/>
      <c r="L10" s="146"/>
      <c r="M10" s="100"/>
      <c r="N10" s="122"/>
      <c r="O10" s="105"/>
      <c r="P10" s="105"/>
      <c r="Q10" s="143"/>
      <c r="R10" s="146"/>
      <c r="S10" s="146"/>
      <c r="T10" s="100"/>
      <c r="U10" s="122"/>
      <c r="V10" s="105"/>
      <c r="W10" s="105"/>
      <c r="X10" s="143"/>
      <c r="Y10" s="146"/>
      <c r="Z10" s="146"/>
      <c r="AA10" s="100"/>
      <c r="AB10" s="122"/>
      <c r="AC10" s="105"/>
      <c r="AD10" s="105"/>
      <c r="AE10" s="226"/>
      <c r="AF10" s="146"/>
      <c r="AG10" s="139"/>
      <c r="AH10" s="100"/>
      <c r="AI10" s="122"/>
      <c r="AJ10" s="122"/>
      <c r="AK10" s="122"/>
      <c r="AL10" s="146"/>
      <c r="AM10" s="100"/>
      <c r="AN10" s="122"/>
      <c r="AO10" s="122"/>
      <c r="AP10" s="122"/>
      <c r="AQ10" s="146"/>
    </row>
    <row r="11" spans="1:43" ht="19.5" customHeight="1">
      <c r="A11" s="100"/>
      <c r="B11" s="105"/>
      <c r="C11" s="106"/>
      <c r="D11" s="106"/>
      <c r="E11" s="107"/>
      <c r="F11" s="100"/>
      <c r="G11" s="122"/>
      <c r="H11" s="105"/>
      <c r="I11" s="105"/>
      <c r="J11" s="143"/>
      <c r="K11" s="146"/>
      <c r="L11" s="146"/>
      <c r="M11" s="100"/>
      <c r="N11" s="122"/>
      <c r="O11" s="105"/>
      <c r="P11" s="105"/>
      <c r="Q11" s="143"/>
      <c r="R11" s="146"/>
      <c r="S11" s="146"/>
      <c r="T11" s="100"/>
      <c r="U11" s="122"/>
      <c r="V11" s="105"/>
      <c r="W11" s="105"/>
      <c r="X11" s="143"/>
      <c r="Y11" s="146"/>
      <c r="Z11" s="146"/>
      <c r="AA11" s="100"/>
      <c r="AB11" s="122"/>
      <c r="AC11" s="105"/>
      <c r="AD11" s="105"/>
      <c r="AE11" s="226"/>
      <c r="AF11" s="146"/>
      <c r="AG11" s="139"/>
      <c r="AH11" s="100"/>
      <c r="AI11" s="122"/>
      <c r="AJ11" s="122"/>
      <c r="AK11" s="122"/>
      <c r="AL11" s="146"/>
      <c r="AM11" s="100"/>
      <c r="AN11" s="122"/>
      <c r="AO11" s="122"/>
      <c r="AP11" s="122"/>
      <c r="AQ11" s="146"/>
    </row>
    <row r="12" spans="1:43" ht="19.5" customHeight="1">
      <c r="A12" s="100"/>
      <c r="B12" s="105"/>
      <c r="C12" s="106"/>
      <c r="D12" s="106"/>
      <c r="E12" s="107"/>
      <c r="F12" s="100"/>
      <c r="G12" s="122"/>
      <c r="H12" s="105"/>
      <c r="I12" s="105"/>
      <c r="J12" s="143"/>
      <c r="K12" s="146"/>
      <c r="L12" s="146"/>
      <c r="M12" s="100"/>
      <c r="N12" s="122"/>
      <c r="O12" s="105"/>
      <c r="P12" s="105"/>
      <c r="Q12" s="143"/>
      <c r="R12" s="146"/>
      <c r="S12" s="146"/>
      <c r="T12" s="100"/>
      <c r="U12" s="122"/>
      <c r="V12" s="105"/>
      <c r="W12" s="105"/>
      <c r="X12" s="143"/>
      <c r="Y12" s="146"/>
      <c r="Z12" s="146"/>
      <c r="AA12" s="100"/>
      <c r="AB12" s="122"/>
      <c r="AC12" s="105"/>
      <c r="AD12" s="105"/>
      <c r="AE12" s="226"/>
      <c r="AF12" s="146"/>
      <c r="AG12" s="139"/>
      <c r="AH12" s="100"/>
      <c r="AI12" s="122"/>
      <c r="AJ12" s="122"/>
      <c r="AK12" s="122"/>
      <c r="AL12" s="146"/>
      <c r="AM12" s="100"/>
      <c r="AN12" s="122"/>
      <c r="AO12" s="122"/>
      <c r="AP12" s="122"/>
      <c r="AQ12" s="146"/>
    </row>
    <row r="13" spans="1:43" ht="19.5" customHeight="1">
      <c r="A13" s="100"/>
      <c r="B13" s="105"/>
      <c r="C13" s="106"/>
      <c r="D13" s="106"/>
      <c r="E13" s="107"/>
      <c r="F13" s="100"/>
      <c r="G13" s="122"/>
      <c r="H13" s="105"/>
      <c r="I13" s="105"/>
      <c r="J13" s="143"/>
      <c r="K13" s="146"/>
      <c r="L13" s="146"/>
      <c r="M13" s="100"/>
      <c r="N13" s="122"/>
      <c r="O13" s="105"/>
      <c r="P13" s="105"/>
      <c r="Q13" s="143"/>
      <c r="R13" s="146"/>
      <c r="S13" s="146"/>
      <c r="T13" s="100"/>
      <c r="U13" s="122"/>
      <c r="V13" s="105"/>
      <c r="W13" s="105"/>
      <c r="X13" s="143"/>
      <c r="Y13" s="146"/>
      <c r="Z13" s="146"/>
      <c r="AA13" s="100"/>
      <c r="AB13" s="122"/>
      <c r="AC13" s="105"/>
      <c r="AD13" s="105"/>
      <c r="AE13" s="226"/>
      <c r="AF13" s="146"/>
      <c r="AG13" s="139"/>
      <c r="AH13" s="100"/>
      <c r="AI13" s="122"/>
      <c r="AJ13" s="122"/>
      <c r="AK13" s="122"/>
      <c r="AL13" s="146"/>
      <c r="AM13" s="100"/>
      <c r="AN13" s="122"/>
      <c r="AO13" s="122"/>
      <c r="AP13" s="122"/>
      <c r="AQ13" s="146"/>
    </row>
    <row r="14" spans="1:43" ht="19.5" customHeight="1">
      <c r="A14" s="100"/>
      <c r="B14" s="105"/>
      <c r="C14" s="106"/>
      <c r="D14" s="106"/>
      <c r="E14" s="107"/>
      <c r="F14" s="100"/>
      <c r="G14" s="122"/>
      <c r="H14" s="105"/>
      <c r="I14" s="105"/>
      <c r="J14" s="143"/>
      <c r="K14" s="146"/>
      <c r="L14" s="146"/>
      <c r="M14" s="100"/>
      <c r="N14" s="122"/>
      <c r="O14" s="105"/>
      <c r="P14" s="105"/>
      <c r="Q14" s="143"/>
      <c r="R14" s="146"/>
      <c r="S14" s="146"/>
      <c r="T14" s="100"/>
      <c r="U14" s="122"/>
      <c r="V14" s="105"/>
      <c r="W14" s="105"/>
      <c r="X14" s="143"/>
      <c r="Y14" s="146"/>
      <c r="Z14" s="146"/>
      <c r="AA14" s="100"/>
      <c r="AB14" s="122"/>
      <c r="AC14" s="105"/>
      <c r="AD14" s="105"/>
      <c r="AE14" s="226"/>
      <c r="AF14" s="146"/>
      <c r="AG14" s="139"/>
      <c r="AH14" s="100"/>
      <c r="AI14" s="122"/>
      <c r="AJ14" s="122"/>
      <c r="AK14" s="122"/>
      <c r="AL14" s="146"/>
      <c r="AM14" s="100"/>
      <c r="AN14" s="122"/>
      <c r="AO14" s="122"/>
      <c r="AP14" s="122"/>
      <c r="AQ14" s="146"/>
    </row>
    <row r="15" spans="1:43" ht="19.5" customHeight="1" thickBot="1">
      <c r="A15" s="101"/>
      <c r="B15" s="108"/>
      <c r="C15" s="109"/>
      <c r="D15" s="109"/>
      <c r="E15" s="110"/>
      <c r="F15" s="101"/>
      <c r="G15" s="123"/>
      <c r="H15" s="108"/>
      <c r="I15" s="108"/>
      <c r="J15" s="144"/>
      <c r="K15" s="147"/>
      <c r="L15" s="147"/>
      <c r="M15" s="101"/>
      <c r="N15" s="123"/>
      <c r="O15" s="108"/>
      <c r="P15" s="108"/>
      <c r="Q15" s="144"/>
      <c r="R15" s="147"/>
      <c r="S15" s="147"/>
      <c r="T15" s="101"/>
      <c r="U15" s="123"/>
      <c r="V15" s="108"/>
      <c r="W15" s="108"/>
      <c r="X15" s="144"/>
      <c r="Y15" s="147"/>
      <c r="Z15" s="147"/>
      <c r="AA15" s="101"/>
      <c r="AB15" s="123"/>
      <c r="AC15" s="108"/>
      <c r="AD15" s="108"/>
      <c r="AE15" s="227"/>
      <c r="AF15" s="147"/>
      <c r="AG15" s="140"/>
      <c r="AH15" s="101"/>
      <c r="AI15" s="123"/>
      <c r="AJ15" s="123"/>
      <c r="AK15" s="123"/>
      <c r="AL15" s="147"/>
      <c r="AM15" s="101"/>
      <c r="AN15" s="123"/>
      <c r="AO15" s="123"/>
      <c r="AP15" s="123"/>
      <c r="AQ15" s="147"/>
    </row>
    <row r="16" spans="1:43" ht="19.5" customHeight="1">
      <c r="A16" s="7">
        <v>1</v>
      </c>
      <c r="B16" s="210" t="s">
        <v>91</v>
      </c>
      <c r="C16" s="211"/>
      <c r="D16" s="211"/>
      <c r="E16" s="212"/>
      <c r="F16" s="70"/>
      <c r="G16" s="71"/>
      <c r="H16" s="71"/>
      <c r="I16" s="72"/>
      <c r="J16" s="73"/>
      <c r="K16" s="31" t="str">
        <f t="shared" ref="K16:K30" si="0">IF(F16=0,"",ROUND(AVERAGE(F16:J16),0))</f>
        <v/>
      </c>
      <c r="L16" s="74"/>
      <c r="M16" s="70"/>
      <c r="N16" s="71"/>
      <c r="O16" s="71"/>
      <c r="P16" s="72"/>
      <c r="Q16" s="73"/>
      <c r="R16" s="31" t="str">
        <f t="shared" ref="R16:R30" si="1">IF(M16=0,"",ROUND(AVERAGE(M16:Q16),0))</f>
        <v/>
      </c>
      <c r="S16" s="74"/>
      <c r="T16" s="70"/>
      <c r="U16" s="71"/>
      <c r="V16" s="71"/>
      <c r="W16" s="72"/>
      <c r="X16" s="73"/>
      <c r="Y16" s="31" t="str">
        <f t="shared" ref="Y16:Y30" si="2">IF(T16=0,"",ROUND(AVERAGE(T16:X16),0))</f>
        <v/>
      </c>
      <c r="Z16" s="74"/>
      <c r="AA16" s="75"/>
      <c r="AB16" s="76"/>
      <c r="AC16" s="77"/>
      <c r="AD16" s="76"/>
      <c r="AE16" s="78"/>
      <c r="AF16" s="31" t="str">
        <f t="shared" ref="AF16:AF30" si="3">IF(AA16=0,"",ROUND(AVERAGE(AA16:AE16),0))</f>
        <v/>
      </c>
      <c r="AG16" s="74"/>
      <c r="AH16" s="70" t="str">
        <f>IF(K16=0,"",K16)</f>
        <v/>
      </c>
      <c r="AI16" s="71" t="str">
        <f t="shared" ref="AI16:AI30" si="4">IF(R16=0,"",R16)</f>
        <v/>
      </c>
      <c r="AJ16" s="71" t="str">
        <f t="shared" ref="AJ16:AJ30" si="5">IF(Y16=0,"",Y16)</f>
        <v/>
      </c>
      <c r="AK16" s="71" t="str">
        <f t="shared" ref="AK16:AK30" si="6">IF(AF16=0,"",AF16)</f>
        <v/>
      </c>
      <c r="AL16" s="31" t="str">
        <f t="shared" ref="AL16:AL30" si="7">IF(F16=0,"",ROUND(AVERAGE(AH16:AK16),0))</f>
        <v/>
      </c>
      <c r="AM16" s="70" t="str">
        <f t="shared" ref="AM16:AP16" si="8">IF(AH16=0,"",IF(AH16&lt;=10,"C",IF(AH16&lt;=13,"B",IF(AH16&lt;=17,"A",IF(AH16&lt;=20,"AD","")))))</f>
        <v/>
      </c>
      <c r="AN16" s="71" t="str">
        <f t="shared" si="8"/>
        <v/>
      </c>
      <c r="AO16" s="71" t="str">
        <f t="shared" si="8"/>
        <v/>
      </c>
      <c r="AP16" s="71" t="str">
        <f t="shared" si="8"/>
        <v/>
      </c>
      <c r="AQ16" s="20" t="str">
        <f t="shared" ref="AQ16:AQ30" si="9">IF(AL16=0,"",IF(AL16&lt;0,"Error",IF(AL16&lt;=10,"C",IF(AL16&lt;=13,"B",IF(AL16&lt;=17,"A",IF(AL16&lt;=20,"AD",""))))))</f>
        <v/>
      </c>
    </row>
    <row r="17" spans="1:43" ht="19.5" customHeight="1">
      <c r="A17" s="22">
        <v>2</v>
      </c>
      <c r="B17" s="207" t="s">
        <v>92</v>
      </c>
      <c r="C17" s="208" t="s">
        <v>92</v>
      </c>
      <c r="D17" s="208" t="s">
        <v>92</v>
      </c>
      <c r="E17" s="209" t="s">
        <v>92</v>
      </c>
      <c r="F17" s="23"/>
      <c r="G17" s="24"/>
      <c r="H17" s="24"/>
      <c r="I17" s="25"/>
      <c r="J17" s="26"/>
      <c r="K17" s="31" t="str">
        <f t="shared" si="0"/>
        <v/>
      </c>
      <c r="L17" s="14"/>
      <c r="M17" s="23"/>
      <c r="N17" s="24"/>
      <c r="O17" s="24"/>
      <c r="P17" s="25"/>
      <c r="Q17" s="26"/>
      <c r="R17" s="31" t="str">
        <f t="shared" si="1"/>
        <v/>
      </c>
      <c r="S17" s="14"/>
      <c r="T17" s="23"/>
      <c r="U17" s="24"/>
      <c r="V17" s="24"/>
      <c r="W17" s="25"/>
      <c r="X17" s="26"/>
      <c r="Y17" s="31" t="str">
        <f t="shared" si="2"/>
        <v/>
      </c>
      <c r="Z17" s="14"/>
      <c r="AA17" s="70"/>
      <c r="AB17" s="71"/>
      <c r="AC17" s="71"/>
      <c r="AD17" s="72"/>
      <c r="AE17" s="73"/>
      <c r="AF17" s="31" t="str">
        <f t="shared" si="3"/>
        <v/>
      </c>
      <c r="AG17" s="14"/>
      <c r="AH17" s="23"/>
      <c r="AI17" s="24" t="str">
        <f t="shared" si="4"/>
        <v/>
      </c>
      <c r="AJ17" s="24" t="str">
        <f t="shared" si="5"/>
        <v/>
      </c>
      <c r="AK17" s="24" t="str">
        <f t="shared" si="6"/>
        <v/>
      </c>
      <c r="AL17" s="31" t="str">
        <f t="shared" si="7"/>
        <v/>
      </c>
      <c r="AM17" s="8" t="str">
        <f t="shared" ref="AM17:AP17" si="10">IF(AH17=0,"",IF(AH17&lt;=10,"C",IF(AH17&lt;=13,"B",IF(AH17&lt;=17,"A",IF(AH17&lt;=20,"AD","")))))</f>
        <v/>
      </c>
      <c r="AN17" s="9" t="str">
        <f t="shared" si="10"/>
        <v/>
      </c>
      <c r="AO17" s="9" t="str">
        <f t="shared" si="10"/>
        <v/>
      </c>
      <c r="AP17" s="9" t="str">
        <f t="shared" si="10"/>
        <v/>
      </c>
      <c r="AQ17" s="20" t="str">
        <f t="shared" si="9"/>
        <v/>
      </c>
    </row>
    <row r="18" spans="1:43" ht="19.5" customHeight="1">
      <c r="A18" s="22">
        <v>3</v>
      </c>
      <c r="B18" s="207" t="s">
        <v>93</v>
      </c>
      <c r="C18" s="208" t="s">
        <v>93</v>
      </c>
      <c r="D18" s="208" t="s">
        <v>93</v>
      </c>
      <c r="E18" s="209" t="s">
        <v>93</v>
      </c>
      <c r="F18" s="23"/>
      <c r="G18" s="24"/>
      <c r="H18" s="24"/>
      <c r="I18" s="25"/>
      <c r="J18" s="26"/>
      <c r="K18" s="31" t="str">
        <f t="shared" si="0"/>
        <v/>
      </c>
      <c r="L18" s="14"/>
      <c r="M18" s="23"/>
      <c r="N18" s="24"/>
      <c r="O18" s="24"/>
      <c r="P18" s="25"/>
      <c r="Q18" s="26"/>
      <c r="R18" s="31" t="str">
        <f t="shared" si="1"/>
        <v/>
      </c>
      <c r="S18" s="14"/>
      <c r="T18" s="23"/>
      <c r="U18" s="24"/>
      <c r="V18" s="24"/>
      <c r="W18" s="25"/>
      <c r="X18" s="26"/>
      <c r="Y18" s="31" t="str">
        <f t="shared" si="2"/>
        <v/>
      </c>
      <c r="Z18" s="14"/>
      <c r="AA18" s="23"/>
      <c r="AB18" s="24"/>
      <c r="AC18" s="24"/>
      <c r="AD18" s="25"/>
      <c r="AE18" s="26"/>
      <c r="AF18" s="31" t="str">
        <f t="shared" si="3"/>
        <v/>
      </c>
      <c r="AG18" s="21"/>
      <c r="AH18" s="23"/>
      <c r="AI18" s="24" t="str">
        <f t="shared" si="4"/>
        <v/>
      </c>
      <c r="AJ18" s="24" t="str">
        <f t="shared" si="5"/>
        <v/>
      </c>
      <c r="AK18" s="24" t="str">
        <f t="shared" si="6"/>
        <v/>
      </c>
      <c r="AL18" s="31" t="str">
        <f t="shared" si="7"/>
        <v/>
      </c>
      <c r="AM18" s="8" t="str">
        <f t="shared" ref="AM18:AP18" si="11">IF(AH18=0,"",IF(AH18&lt;=10,"C",IF(AH18&lt;=13,"B",IF(AH18&lt;=17,"A",IF(AH18&lt;=20,"AD","")))))</f>
        <v/>
      </c>
      <c r="AN18" s="9" t="str">
        <f t="shared" si="11"/>
        <v/>
      </c>
      <c r="AO18" s="9" t="str">
        <f t="shared" si="11"/>
        <v/>
      </c>
      <c r="AP18" s="9" t="str">
        <f t="shared" si="11"/>
        <v/>
      </c>
      <c r="AQ18" s="20" t="str">
        <f t="shared" si="9"/>
        <v/>
      </c>
    </row>
    <row r="19" spans="1:43" ht="19.5" customHeight="1">
      <c r="A19" s="22">
        <v>4</v>
      </c>
      <c r="B19" s="207" t="s">
        <v>107</v>
      </c>
      <c r="C19" s="208"/>
      <c r="D19" s="208"/>
      <c r="E19" s="209"/>
      <c r="F19" s="23"/>
      <c r="G19" s="24"/>
      <c r="H19" s="24"/>
      <c r="I19" s="25"/>
      <c r="J19" s="26"/>
      <c r="K19" s="31" t="str">
        <f t="shared" si="0"/>
        <v/>
      </c>
      <c r="L19" s="14"/>
      <c r="M19" s="23"/>
      <c r="N19" s="24"/>
      <c r="O19" s="24"/>
      <c r="P19" s="25"/>
      <c r="Q19" s="26"/>
      <c r="R19" s="31" t="str">
        <f t="shared" si="1"/>
        <v/>
      </c>
      <c r="S19" s="14"/>
      <c r="T19" s="23"/>
      <c r="U19" s="24"/>
      <c r="V19" s="24"/>
      <c r="W19" s="25"/>
      <c r="X19" s="26"/>
      <c r="Y19" s="31" t="str">
        <f t="shared" si="2"/>
        <v/>
      </c>
      <c r="Z19" s="14"/>
      <c r="AA19" s="23"/>
      <c r="AB19" s="24"/>
      <c r="AC19" s="24"/>
      <c r="AD19" s="25"/>
      <c r="AE19" s="26"/>
      <c r="AF19" s="31" t="str">
        <f t="shared" si="3"/>
        <v/>
      </c>
      <c r="AG19" s="14"/>
      <c r="AH19" s="23"/>
      <c r="AI19" s="24" t="str">
        <f t="shared" si="4"/>
        <v/>
      </c>
      <c r="AJ19" s="24" t="str">
        <f t="shared" si="5"/>
        <v/>
      </c>
      <c r="AK19" s="24" t="str">
        <f t="shared" si="6"/>
        <v/>
      </c>
      <c r="AL19" s="31" t="str">
        <f t="shared" si="7"/>
        <v/>
      </c>
      <c r="AM19" s="8" t="str">
        <f t="shared" ref="AM19:AP19" si="12">IF(AH19=0,"",IF(AH19&lt;=10,"C",IF(AH19&lt;=13,"B",IF(AH19&lt;=17,"A",IF(AH19&lt;=20,"AD","")))))</f>
        <v/>
      </c>
      <c r="AN19" s="9" t="str">
        <f t="shared" si="12"/>
        <v/>
      </c>
      <c r="AO19" s="9" t="str">
        <f t="shared" si="12"/>
        <v/>
      </c>
      <c r="AP19" s="9" t="str">
        <f t="shared" si="12"/>
        <v/>
      </c>
      <c r="AQ19" s="20" t="str">
        <f t="shared" si="9"/>
        <v/>
      </c>
    </row>
    <row r="20" spans="1:43" ht="19.5" customHeight="1">
      <c r="A20" s="22">
        <v>5</v>
      </c>
      <c r="B20" s="207" t="s">
        <v>94</v>
      </c>
      <c r="C20" s="208" t="s">
        <v>94</v>
      </c>
      <c r="D20" s="208" t="s">
        <v>94</v>
      </c>
      <c r="E20" s="209" t="s">
        <v>94</v>
      </c>
      <c r="F20" s="23"/>
      <c r="G20" s="24"/>
      <c r="H20" s="24"/>
      <c r="I20" s="25"/>
      <c r="J20" s="26"/>
      <c r="K20" s="31" t="str">
        <f t="shared" si="0"/>
        <v/>
      </c>
      <c r="L20" s="14"/>
      <c r="M20" s="23"/>
      <c r="N20" s="24"/>
      <c r="O20" s="24"/>
      <c r="P20" s="25"/>
      <c r="Q20" s="26"/>
      <c r="R20" s="31" t="str">
        <f t="shared" si="1"/>
        <v/>
      </c>
      <c r="S20" s="14"/>
      <c r="T20" s="23"/>
      <c r="U20" s="24"/>
      <c r="V20" s="24"/>
      <c r="W20" s="25"/>
      <c r="X20" s="26"/>
      <c r="Y20" s="31" t="str">
        <f t="shared" si="2"/>
        <v/>
      </c>
      <c r="Z20" s="21"/>
      <c r="AA20" s="23"/>
      <c r="AB20" s="24"/>
      <c r="AC20" s="24"/>
      <c r="AD20" s="25"/>
      <c r="AE20" s="26"/>
      <c r="AF20" s="31" t="str">
        <f t="shared" si="3"/>
        <v/>
      </c>
      <c r="AG20" s="14"/>
      <c r="AH20" s="23"/>
      <c r="AI20" s="24" t="str">
        <f t="shared" si="4"/>
        <v/>
      </c>
      <c r="AJ20" s="24" t="str">
        <f t="shared" si="5"/>
        <v/>
      </c>
      <c r="AK20" s="24" t="str">
        <f t="shared" si="6"/>
        <v/>
      </c>
      <c r="AL20" s="31" t="str">
        <f t="shared" si="7"/>
        <v/>
      </c>
      <c r="AM20" s="8" t="str">
        <f t="shared" ref="AM20:AP20" si="13">IF(AH20=0,"",IF(AH20&lt;=10,"C",IF(AH20&lt;=13,"B",IF(AH20&lt;=17,"A",IF(AH20&lt;=20,"AD","")))))</f>
        <v/>
      </c>
      <c r="AN20" s="9" t="str">
        <f t="shared" si="13"/>
        <v/>
      </c>
      <c r="AO20" s="9" t="str">
        <f t="shared" si="13"/>
        <v/>
      </c>
      <c r="AP20" s="9" t="str">
        <f t="shared" si="13"/>
        <v/>
      </c>
      <c r="AQ20" s="20" t="str">
        <f t="shared" si="9"/>
        <v/>
      </c>
    </row>
    <row r="21" spans="1:43" ht="19.5" customHeight="1">
      <c r="A21" s="22">
        <v>6</v>
      </c>
      <c r="B21" s="207" t="s">
        <v>95</v>
      </c>
      <c r="C21" s="208" t="s">
        <v>95</v>
      </c>
      <c r="D21" s="208" t="s">
        <v>95</v>
      </c>
      <c r="E21" s="209" t="s">
        <v>95</v>
      </c>
      <c r="F21" s="23"/>
      <c r="G21" s="24"/>
      <c r="H21" s="24"/>
      <c r="I21" s="25"/>
      <c r="J21" s="26"/>
      <c r="K21" s="31" t="str">
        <f t="shared" si="0"/>
        <v/>
      </c>
      <c r="L21" s="14"/>
      <c r="M21" s="23"/>
      <c r="N21" s="24"/>
      <c r="O21" s="24"/>
      <c r="P21" s="25"/>
      <c r="Q21" s="26"/>
      <c r="R21" s="31" t="str">
        <f t="shared" si="1"/>
        <v/>
      </c>
      <c r="S21" s="14"/>
      <c r="T21" s="23"/>
      <c r="U21" s="24"/>
      <c r="V21" s="24"/>
      <c r="W21" s="25"/>
      <c r="X21" s="26"/>
      <c r="Y21" s="31" t="str">
        <f t="shared" si="2"/>
        <v/>
      </c>
      <c r="Z21" s="14"/>
      <c r="AA21" s="23"/>
      <c r="AB21" s="24"/>
      <c r="AC21" s="24"/>
      <c r="AD21" s="25"/>
      <c r="AE21" s="26"/>
      <c r="AF21" s="31" t="str">
        <f t="shared" si="3"/>
        <v/>
      </c>
      <c r="AG21" s="14"/>
      <c r="AH21" s="23"/>
      <c r="AI21" s="24" t="str">
        <f t="shared" si="4"/>
        <v/>
      </c>
      <c r="AJ21" s="24" t="str">
        <f t="shared" si="5"/>
        <v/>
      </c>
      <c r="AK21" s="24" t="str">
        <f t="shared" si="6"/>
        <v/>
      </c>
      <c r="AL21" s="31" t="str">
        <f t="shared" si="7"/>
        <v/>
      </c>
      <c r="AM21" s="8" t="str">
        <f t="shared" ref="AM21:AP21" si="14">IF(AH21=0,"",IF(AH21&lt;=10,"C",IF(AH21&lt;=13,"B",IF(AH21&lt;=17,"A",IF(AH21&lt;=20,"AD","")))))</f>
        <v/>
      </c>
      <c r="AN21" s="9" t="str">
        <f t="shared" si="14"/>
        <v/>
      </c>
      <c r="AO21" s="9" t="str">
        <f t="shared" si="14"/>
        <v/>
      </c>
      <c r="AP21" s="9" t="str">
        <f t="shared" si="14"/>
        <v/>
      </c>
      <c r="AQ21" s="20" t="str">
        <f t="shared" si="9"/>
        <v/>
      </c>
    </row>
    <row r="22" spans="1:43" ht="19.5" customHeight="1">
      <c r="A22" s="22">
        <v>7</v>
      </c>
      <c r="B22" s="215" t="s">
        <v>96</v>
      </c>
      <c r="C22" s="216" t="s">
        <v>96</v>
      </c>
      <c r="D22" s="216" t="s">
        <v>96</v>
      </c>
      <c r="E22" s="217" t="s">
        <v>96</v>
      </c>
      <c r="F22" s="23"/>
      <c r="G22" s="24"/>
      <c r="H22" s="24"/>
      <c r="I22" s="25"/>
      <c r="J22" s="26"/>
      <c r="K22" s="31" t="str">
        <f t="shared" si="0"/>
        <v/>
      </c>
      <c r="L22" s="14"/>
      <c r="M22" s="23"/>
      <c r="N22" s="24"/>
      <c r="O22" s="24"/>
      <c r="P22" s="25"/>
      <c r="Q22" s="26"/>
      <c r="R22" s="31" t="str">
        <f t="shared" si="1"/>
        <v/>
      </c>
      <c r="S22" s="14"/>
      <c r="T22" s="23"/>
      <c r="U22" s="24"/>
      <c r="V22" s="24"/>
      <c r="W22" s="25"/>
      <c r="X22" s="26"/>
      <c r="Y22" s="31" t="str">
        <f t="shared" si="2"/>
        <v/>
      </c>
      <c r="Z22" s="14"/>
      <c r="AA22" s="23"/>
      <c r="AB22" s="24"/>
      <c r="AC22" s="24"/>
      <c r="AD22" s="25"/>
      <c r="AE22" s="26"/>
      <c r="AF22" s="31" t="str">
        <f t="shared" si="3"/>
        <v/>
      </c>
      <c r="AG22" s="14"/>
      <c r="AH22" s="23"/>
      <c r="AI22" s="24" t="str">
        <f t="shared" si="4"/>
        <v/>
      </c>
      <c r="AJ22" s="24" t="str">
        <f t="shared" si="5"/>
        <v/>
      </c>
      <c r="AK22" s="24" t="str">
        <f t="shared" si="6"/>
        <v/>
      </c>
      <c r="AL22" s="31" t="str">
        <f t="shared" si="7"/>
        <v/>
      </c>
      <c r="AM22" s="8" t="str">
        <f t="shared" ref="AM22:AP22" si="15">IF(AH22=0,"",IF(AH22&lt;=10,"C",IF(AH22&lt;=13,"B",IF(AH22&lt;=17,"A",IF(AH22&lt;=20,"AD","")))))</f>
        <v/>
      </c>
      <c r="AN22" s="9" t="str">
        <f t="shared" si="15"/>
        <v/>
      </c>
      <c r="AO22" s="9" t="str">
        <f t="shared" si="15"/>
        <v/>
      </c>
      <c r="AP22" s="9" t="str">
        <f t="shared" si="15"/>
        <v/>
      </c>
      <c r="AQ22" s="20" t="str">
        <f t="shared" si="9"/>
        <v/>
      </c>
    </row>
    <row r="23" spans="1:43" ht="19.5" customHeight="1">
      <c r="A23" s="22">
        <v>8</v>
      </c>
      <c r="B23" s="215" t="s">
        <v>98</v>
      </c>
      <c r="C23" s="216"/>
      <c r="D23" s="216"/>
      <c r="E23" s="217"/>
      <c r="F23" s="23"/>
      <c r="G23" s="24"/>
      <c r="H23" s="24"/>
      <c r="I23" s="25"/>
      <c r="J23" s="26"/>
      <c r="K23" s="31" t="str">
        <f t="shared" si="0"/>
        <v/>
      </c>
      <c r="L23" s="14"/>
      <c r="M23" s="23"/>
      <c r="N23" s="24"/>
      <c r="O23" s="24"/>
      <c r="P23" s="25"/>
      <c r="Q23" s="26"/>
      <c r="R23" s="31" t="str">
        <f t="shared" si="1"/>
        <v/>
      </c>
      <c r="S23" s="14"/>
      <c r="T23" s="23"/>
      <c r="U23" s="24"/>
      <c r="V23" s="24"/>
      <c r="W23" s="25"/>
      <c r="X23" s="26"/>
      <c r="Y23" s="31" t="str">
        <f t="shared" si="2"/>
        <v/>
      </c>
      <c r="Z23" s="14"/>
      <c r="AA23" s="23"/>
      <c r="AB23" s="24"/>
      <c r="AC23" s="24"/>
      <c r="AD23" s="25"/>
      <c r="AE23" s="26"/>
      <c r="AF23" s="31" t="str">
        <f t="shared" si="3"/>
        <v/>
      </c>
      <c r="AG23" s="14"/>
      <c r="AH23" s="23"/>
      <c r="AI23" s="24" t="str">
        <f t="shared" si="4"/>
        <v/>
      </c>
      <c r="AJ23" s="24" t="str">
        <f t="shared" si="5"/>
        <v/>
      </c>
      <c r="AK23" s="24" t="str">
        <f t="shared" si="6"/>
        <v/>
      </c>
      <c r="AL23" s="31" t="str">
        <f t="shared" si="7"/>
        <v/>
      </c>
      <c r="AM23" s="8" t="str">
        <f t="shared" ref="AM23:AP23" si="16">IF(AH23=0,"",IF(AH23&lt;=10,"C",IF(AH23&lt;=13,"B",IF(AH23&lt;=17,"A",IF(AH23&lt;=20,"AD","")))))</f>
        <v/>
      </c>
      <c r="AN23" s="9" t="str">
        <f t="shared" si="16"/>
        <v/>
      </c>
      <c r="AO23" s="9" t="str">
        <f t="shared" si="16"/>
        <v/>
      </c>
      <c r="AP23" s="9" t="str">
        <f t="shared" si="16"/>
        <v/>
      </c>
      <c r="AQ23" s="20" t="str">
        <f t="shared" si="9"/>
        <v/>
      </c>
    </row>
    <row r="24" spans="1:43" ht="19.5" customHeight="1">
      <c r="A24" s="22">
        <v>9</v>
      </c>
      <c r="B24" s="215" t="s">
        <v>97</v>
      </c>
      <c r="C24" s="216" t="s">
        <v>97</v>
      </c>
      <c r="D24" s="216" t="s">
        <v>97</v>
      </c>
      <c r="E24" s="217" t="s">
        <v>97</v>
      </c>
      <c r="F24" s="23"/>
      <c r="G24" s="24"/>
      <c r="H24" s="24"/>
      <c r="I24" s="25"/>
      <c r="J24" s="26"/>
      <c r="K24" s="31" t="str">
        <f t="shared" si="0"/>
        <v/>
      </c>
      <c r="L24" s="14"/>
      <c r="M24" s="23"/>
      <c r="N24" s="24"/>
      <c r="O24" s="24"/>
      <c r="P24" s="25"/>
      <c r="Q24" s="26"/>
      <c r="R24" s="31" t="str">
        <f t="shared" si="1"/>
        <v/>
      </c>
      <c r="S24" s="14"/>
      <c r="T24" s="23"/>
      <c r="U24" s="24"/>
      <c r="V24" s="24"/>
      <c r="W24" s="25"/>
      <c r="X24" s="26"/>
      <c r="Y24" s="31" t="str">
        <f t="shared" si="2"/>
        <v/>
      </c>
      <c r="Z24" s="14"/>
      <c r="AA24" s="23"/>
      <c r="AB24" s="24"/>
      <c r="AC24" s="24"/>
      <c r="AD24" s="25"/>
      <c r="AE24" s="26"/>
      <c r="AF24" s="31" t="str">
        <f t="shared" si="3"/>
        <v/>
      </c>
      <c r="AG24" s="14"/>
      <c r="AH24" s="23"/>
      <c r="AI24" s="24" t="str">
        <f t="shared" si="4"/>
        <v/>
      </c>
      <c r="AJ24" s="24" t="str">
        <f t="shared" si="5"/>
        <v/>
      </c>
      <c r="AK24" s="24" t="str">
        <f t="shared" si="6"/>
        <v/>
      </c>
      <c r="AL24" s="31" t="str">
        <f t="shared" si="7"/>
        <v/>
      </c>
      <c r="AM24" s="8" t="str">
        <f t="shared" ref="AM24:AP24" si="17">IF(AH24=0,"",IF(AH24&lt;=10,"C",IF(AH24&lt;=13,"B",IF(AH24&lt;=17,"A",IF(AH24&lt;=20,"AD","")))))</f>
        <v/>
      </c>
      <c r="AN24" s="9" t="str">
        <f t="shared" si="17"/>
        <v/>
      </c>
      <c r="AO24" s="9" t="str">
        <f t="shared" si="17"/>
        <v/>
      </c>
      <c r="AP24" s="9" t="str">
        <f t="shared" si="17"/>
        <v/>
      </c>
      <c r="AQ24" s="20" t="str">
        <f t="shared" si="9"/>
        <v/>
      </c>
    </row>
    <row r="25" spans="1:43" ht="19.5" customHeight="1">
      <c r="A25" s="22">
        <v>10</v>
      </c>
      <c r="B25" s="214"/>
      <c r="C25" s="133"/>
      <c r="D25" s="133"/>
      <c r="E25" s="160"/>
      <c r="F25" s="23"/>
      <c r="G25" s="24"/>
      <c r="H25" s="24"/>
      <c r="I25" s="25"/>
      <c r="J25" s="26"/>
      <c r="K25" s="31" t="str">
        <f t="shared" si="0"/>
        <v/>
      </c>
      <c r="L25" s="14"/>
      <c r="M25" s="23"/>
      <c r="N25" s="24"/>
      <c r="O25" s="24"/>
      <c r="P25" s="25"/>
      <c r="Q25" s="26"/>
      <c r="R25" s="31" t="str">
        <f t="shared" si="1"/>
        <v/>
      </c>
      <c r="S25" s="14"/>
      <c r="T25" s="23"/>
      <c r="U25" s="24"/>
      <c r="V25" s="24"/>
      <c r="W25" s="25"/>
      <c r="X25" s="26"/>
      <c r="Y25" s="31" t="str">
        <f t="shared" si="2"/>
        <v/>
      </c>
      <c r="Z25" s="14"/>
      <c r="AA25" s="23"/>
      <c r="AB25" s="24"/>
      <c r="AC25" s="24"/>
      <c r="AD25" s="25"/>
      <c r="AE25" s="26"/>
      <c r="AF25" s="31" t="str">
        <f t="shared" si="3"/>
        <v/>
      </c>
      <c r="AG25" s="14"/>
      <c r="AH25" s="23"/>
      <c r="AI25" s="24" t="str">
        <f t="shared" si="4"/>
        <v/>
      </c>
      <c r="AJ25" s="24" t="str">
        <f t="shared" si="5"/>
        <v/>
      </c>
      <c r="AK25" s="24" t="str">
        <f t="shared" si="6"/>
        <v/>
      </c>
      <c r="AL25" s="31" t="str">
        <f t="shared" si="7"/>
        <v/>
      </c>
      <c r="AM25" s="8" t="str">
        <f t="shared" ref="AM25:AP25" si="18">IF(AH25=0,"",IF(AH25&lt;=10,"C",IF(AH25&lt;=13,"B",IF(AH25&lt;=17,"A",IF(AH25&lt;=20,"AD","")))))</f>
        <v/>
      </c>
      <c r="AN25" s="9" t="str">
        <f t="shared" si="18"/>
        <v/>
      </c>
      <c r="AO25" s="9" t="str">
        <f t="shared" si="18"/>
        <v/>
      </c>
      <c r="AP25" s="9" t="str">
        <f t="shared" si="18"/>
        <v/>
      </c>
      <c r="AQ25" s="20" t="str">
        <f t="shared" si="9"/>
        <v/>
      </c>
    </row>
    <row r="26" spans="1:43" ht="19.5" customHeight="1">
      <c r="A26" s="22">
        <v>11</v>
      </c>
      <c r="B26" s="214"/>
      <c r="C26" s="133"/>
      <c r="D26" s="133"/>
      <c r="E26" s="160"/>
      <c r="F26" s="23"/>
      <c r="G26" s="24"/>
      <c r="H26" s="24"/>
      <c r="I26" s="25"/>
      <c r="J26" s="26"/>
      <c r="K26" s="31" t="str">
        <f t="shared" si="0"/>
        <v/>
      </c>
      <c r="L26" s="14"/>
      <c r="M26" s="23"/>
      <c r="N26" s="24"/>
      <c r="O26" s="24"/>
      <c r="P26" s="25"/>
      <c r="Q26" s="26"/>
      <c r="R26" s="31" t="str">
        <f t="shared" si="1"/>
        <v/>
      </c>
      <c r="S26" s="14"/>
      <c r="T26" s="23"/>
      <c r="U26" s="24"/>
      <c r="V26" s="24"/>
      <c r="W26" s="25"/>
      <c r="X26" s="26"/>
      <c r="Y26" s="31" t="str">
        <f t="shared" si="2"/>
        <v/>
      </c>
      <c r="Z26" s="21"/>
      <c r="AA26" s="23"/>
      <c r="AB26" s="24"/>
      <c r="AC26" s="24"/>
      <c r="AD26" s="25"/>
      <c r="AE26" s="26"/>
      <c r="AF26" s="31" t="str">
        <f t="shared" si="3"/>
        <v/>
      </c>
      <c r="AG26" s="14"/>
      <c r="AH26" s="23"/>
      <c r="AI26" s="24" t="str">
        <f t="shared" si="4"/>
        <v/>
      </c>
      <c r="AJ26" s="24" t="str">
        <f t="shared" si="5"/>
        <v/>
      </c>
      <c r="AK26" s="24" t="str">
        <f t="shared" si="6"/>
        <v/>
      </c>
      <c r="AL26" s="31" t="str">
        <f t="shared" si="7"/>
        <v/>
      </c>
      <c r="AM26" s="8" t="str">
        <f t="shared" ref="AM26:AP26" si="19">IF(AH26=0,"",IF(AH26&lt;=10,"C",IF(AH26&lt;=13,"B",IF(AH26&lt;=17,"A",IF(AH26&lt;=20,"AD","")))))</f>
        <v/>
      </c>
      <c r="AN26" s="9" t="str">
        <f t="shared" si="19"/>
        <v/>
      </c>
      <c r="AO26" s="9" t="str">
        <f t="shared" si="19"/>
        <v/>
      </c>
      <c r="AP26" s="9" t="str">
        <f t="shared" si="19"/>
        <v/>
      </c>
      <c r="AQ26" s="20" t="str">
        <f t="shared" si="9"/>
        <v/>
      </c>
    </row>
    <row r="27" spans="1:43" ht="19.5" customHeight="1">
      <c r="A27" s="22">
        <v>12</v>
      </c>
      <c r="B27" s="214"/>
      <c r="C27" s="133"/>
      <c r="D27" s="133"/>
      <c r="E27" s="160"/>
      <c r="F27" s="23"/>
      <c r="G27" s="24"/>
      <c r="H27" s="24"/>
      <c r="I27" s="25"/>
      <c r="J27" s="26"/>
      <c r="K27" s="31" t="str">
        <f t="shared" si="0"/>
        <v/>
      </c>
      <c r="L27" s="14"/>
      <c r="M27" s="23"/>
      <c r="N27" s="24"/>
      <c r="O27" s="24"/>
      <c r="P27" s="25"/>
      <c r="Q27" s="26"/>
      <c r="R27" s="31" t="str">
        <f t="shared" si="1"/>
        <v/>
      </c>
      <c r="S27" s="14"/>
      <c r="T27" s="23"/>
      <c r="U27" s="24"/>
      <c r="V27" s="24"/>
      <c r="W27" s="25"/>
      <c r="X27" s="26"/>
      <c r="Y27" s="31" t="str">
        <f t="shared" si="2"/>
        <v/>
      </c>
      <c r="Z27" s="14"/>
      <c r="AA27" s="23"/>
      <c r="AB27" s="24"/>
      <c r="AC27" s="24"/>
      <c r="AD27" s="25"/>
      <c r="AE27" s="26"/>
      <c r="AF27" s="31" t="str">
        <f t="shared" si="3"/>
        <v/>
      </c>
      <c r="AG27" s="14"/>
      <c r="AH27" s="23"/>
      <c r="AI27" s="24" t="str">
        <f t="shared" si="4"/>
        <v/>
      </c>
      <c r="AJ27" s="24" t="str">
        <f t="shared" si="5"/>
        <v/>
      </c>
      <c r="AK27" s="24" t="str">
        <f t="shared" si="6"/>
        <v/>
      </c>
      <c r="AL27" s="31" t="str">
        <f t="shared" si="7"/>
        <v/>
      </c>
      <c r="AM27" s="8" t="str">
        <f t="shared" ref="AM27:AP27" si="20">IF(AH27=0,"",IF(AH27&lt;=10,"C",IF(AH27&lt;=13,"B",IF(AH27&lt;=17,"A",IF(AH27&lt;=20,"AD","")))))</f>
        <v/>
      </c>
      <c r="AN27" s="9" t="str">
        <f t="shared" si="20"/>
        <v/>
      </c>
      <c r="AO27" s="9" t="str">
        <f t="shared" si="20"/>
        <v/>
      </c>
      <c r="AP27" s="9" t="str">
        <f t="shared" si="20"/>
        <v/>
      </c>
      <c r="AQ27" s="20" t="str">
        <f t="shared" si="9"/>
        <v/>
      </c>
    </row>
    <row r="28" spans="1:43" ht="19.5" customHeight="1">
      <c r="A28" s="22">
        <v>13</v>
      </c>
      <c r="B28" s="214"/>
      <c r="C28" s="133"/>
      <c r="D28" s="133"/>
      <c r="E28" s="160"/>
      <c r="F28" s="23"/>
      <c r="G28" s="24"/>
      <c r="H28" s="24"/>
      <c r="I28" s="25"/>
      <c r="J28" s="26"/>
      <c r="K28" s="31" t="str">
        <f t="shared" si="0"/>
        <v/>
      </c>
      <c r="L28" s="14"/>
      <c r="M28" s="23"/>
      <c r="N28" s="24"/>
      <c r="O28" s="24"/>
      <c r="P28" s="25"/>
      <c r="Q28" s="26"/>
      <c r="R28" s="31" t="str">
        <f t="shared" si="1"/>
        <v/>
      </c>
      <c r="S28" s="14"/>
      <c r="T28" s="23"/>
      <c r="U28" s="24"/>
      <c r="V28" s="24"/>
      <c r="W28" s="25"/>
      <c r="X28" s="26"/>
      <c r="Y28" s="31" t="str">
        <f t="shared" si="2"/>
        <v/>
      </c>
      <c r="Z28" s="14"/>
      <c r="AA28" s="23"/>
      <c r="AB28" s="24"/>
      <c r="AC28" s="24"/>
      <c r="AD28" s="25"/>
      <c r="AE28" s="26"/>
      <c r="AF28" s="31" t="str">
        <f t="shared" si="3"/>
        <v/>
      </c>
      <c r="AG28" s="14"/>
      <c r="AH28" s="23"/>
      <c r="AI28" s="24" t="str">
        <f t="shared" si="4"/>
        <v/>
      </c>
      <c r="AJ28" s="24" t="str">
        <f t="shared" si="5"/>
        <v/>
      </c>
      <c r="AK28" s="24" t="str">
        <f t="shared" si="6"/>
        <v/>
      </c>
      <c r="AL28" s="31" t="str">
        <f t="shared" si="7"/>
        <v/>
      </c>
      <c r="AM28" s="8" t="str">
        <f t="shared" ref="AM28:AP28" si="21">IF(AH28=0,"",IF(AH28&lt;=10,"C",IF(AH28&lt;=13,"B",IF(AH28&lt;=17,"A",IF(AH28&lt;=20,"AD","")))))</f>
        <v/>
      </c>
      <c r="AN28" s="9" t="str">
        <f t="shared" si="21"/>
        <v/>
      </c>
      <c r="AO28" s="9" t="str">
        <f t="shared" si="21"/>
        <v/>
      </c>
      <c r="AP28" s="9" t="str">
        <f t="shared" si="21"/>
        <v/>
      </c>
      <c r="AQ28" s="20" t="str">
        <f t="shared" si="9"/>
        <v/>
      </c>
    </row>
    <row r="29" spans="1:43" ht="19.5" customHeight="1">
      <c r="A29" s="22">
        <v>14</v>
      </c>
      <c r="B29" s="214"/>
      <c r="C29" s="133"/>
      <c r="D29" s="133"/>
      <c r="E29" s="160"/>
      <c r="F29" s="23"/>
      <c r="G29" s="24"/>
      <c r="H29" s="24"/>
      <c r="I29" s="25"/>
      <c r="J29" s="26"/>
      <c r="K29" s="31" t="str">
        <f t="shared" si="0"/>
        <v/>
      </c>
      <c r="L29" s="14"/>
      <c r="M29" s="23"/>
      <c r="N29" s="24"/>
      <c r="O29" s="24"/>
      <c r="P29" s="25"/>
      <c r="Q29" s="26"/>
      <c r="R29" s="31" t="str">
        <f t="shared" si="1"/>
        <v/>
      </c>
      <c r="S29" s="14"/>
      <c r="T29" s="23"/>
      <c r="U29" s="24"/>
      <c r="V29" s="24"/>
      <c r="W29" s="25"/>
      <c r="X29" s="26"/>
      <c r="Y29" s="31" t="str">
        <f t="shared" si="2"/>
        <v/>
      </c>
      <c r="Z29" s="14"/>
      <c r="AA29" s="23"/>
      <c r="AB29" s="24"/>
      <c r="AC29" s="24"/>
      <c r="AD29" s="25"/>
      <c r="AE29" s="26"/>
      <c r="AF29" s="31" t="str">
        <f t="shared" si="3"/>
        <v/>
      </c>
      <c r="AG29" s="14"/>
      <c r="AH29" s="23"/>
      <c r="AI29" s="24" t="str">
        <f t="shared" si="4"/>
        <v/>
      </c>
      <c r="AJ29" s="24" t="str">
        <f t="shared" si="5"/>
        <v/>
      </c>
      <c r="AK29" s="24" t="str">
        <f t="shared" si="6"/>
        <v/>
      </c>
      <c r="AL29" s="31" t="str">
        <f t="shared" si="7"/>
        <v/>
      </c>
      <c r="AM29" s="8" t="str">
        <f t="shared" ref="AM29:AP29" si="22">IF(AH29=0,"",IF(AH29&lt;=10,"C",IF(AH29&lt;=13,"B",IF(AH29&lt;=17,"A",IF(AH29&lt;=20,"AD","")))))</f>
        <v/>
      </c>
      <c r="AN29" s="9" t="str">
        <f t="shared" si="22"/>
        <v/>
      </c>
      <c r="AO29" s="9" t="str">
        <f t="shared" si="22"/>
        <v/>
      </c>
      <c r="AP29" s="9" t="str">
        <f t="shared" si="22"/>
        <v/>
      </c>
      <c r="AQ29" s="20" t="str">
        <f t="shared" si="9"/>
        <v/>
      </c>
    </row>
    <row r="30" spans="1:43" ht="19.5" customHeight="1" thickBot="1">
      <c r="A30" s="32">
        <v>15</v>
      </c>
      <c r="B30" s="111"/>
      <c r="C30" s="112"/>
      <c r="D30" s="112"/>
      <c r="E30" s="113"/>
      <c r="F30" s="33"/>
      <c r="G30" s="34"/>
      <c r="H30" s="34"/>
      <c r="I30" s="35"/>
      <c r="J30" s="36"/>
      <c r="K30" s="31" t="str">
        <f t="shared" si="0"/>
        <v/>
      </c>
      <c r="L30" s="79"/>
      <c r="M30" s="33"/>
      <c r="N30" s="34"/>
      <c r="O30" s="34"/>
      <c r="P30" s="35"/>
      <c r="Q30" s="36"/>
      <c r="R30" s="37" t="str">
        <f t="shared" si="1"/>
        <v/>
      </c>
      <c r="S30" s="38"/>
      <c r="T30" s="33"/>
      <c r="U30" s="34"/>
      <c r="V30" s="34"/>
      <c r="W30" s="35"/>
      <c r="X30" s="36"/>
      <c r="Y30" s="37" t="str">
        <f t="shared" si="2"/>
        <v/>
      </c>
      <c r="Z30" s="38"/>
      <c r="AA30" s="33"/>
      <c r="AB30" s="34"/>
      <c r="AC30" s="34"/>
      <c r="AD30" s="35"/>
      <c r="AE30" s="36"/>
      <c r="AF30" s="37" t="str">
        <f t="shared" si="3"/>
        <v/>
      </c>
      <c r="AG30" s="38"/>
      <c r="AH30" s="33"/>
      <c r="AI30" s="34" t="str">
        <f t="shared" si="4"/>
        <v/>
      </c>
      <c r="AJ30" s="34" t="str">
        <f t="shared" si="5"/>
        <v/>
      </c>
      <c r="AK30" s="34" t="str">
        <f t="shared" si="6"/>
        <v/>
      </c>
      <c r="AL30" s="37" t="str">
        <f t="shared" si="7"/>
        <v/>
      </c>
      <c r="AM30" s="33" t="str">
        <f t="shared" ref="AM30:AP30" si="23">IF(AH30=0,"",IF(AH30&lt;=10,"C",IF(AH30&lt;=13,"B",IF(AH30&lt;=17,"A",IF(AH30&lt;=20,"AD","")))))</f>
        <v/>
      </c>
      <c r="AN30" s="34" t="str">
        <f t="shared" si="23"/>
        <v/>
      </c>
      <c r="AO30" s="34" t="str">
        <f t="shared" si="23"/>
        <v/>
      </c>
      <c r="AP30" s="34" t="str">
        <f t="shared" si="23"/>
        <v/>
      </c>
      <c r="AQ30" s="39" t="str">
        <f t="shared" si="9"/>
        <v/>
      </c>
    </row>
    <row r="31" spans="1:43" ht="15.75" customHeight="1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2"/>
    </row>
    <row r="32" spans="1:43" ht="19.5" customHeight="1">
      <c r="A32" s="40"/>
      <c r="B32" s="41"/>
      <c r="C32" s="41"/>
      <c r="D32" s="41"/>
      <c r="E32" s="43" t="s">
        <v>24</v>
      </c>
      <c r="F32" s="91">
        <f>SUM(AL16:AL30)</f>
        <v>0</v>
      </c>
      <c r="G32" s="92"/>
      <c r="H32" s="41"/>
      <c r="I32" s="41"/>
      <c r="J32" s="41"/>
      <c r="K32" s="168" t="s">
        <v>25</v>
      </c>
      <c r="L32" s="169"/>
      <c r="M32" s="169"/>
      <c r="N32" s="170"/>
      <c r="O32" s="171">
        <v>15</v>
      </c>
      <c r="P32" s="169"/>
      <c r="Q32" s="170"/>
      <c r="R32" s="172">
        <f>O32/O32</f>
        <v>1</v>
      </c>
      <c r="S32" s="169"/>
      <c r="T32" s="92"/>
      <c r="U32" s="41"/>
      <c r="V32" s="41"/>
      <c r="W32" s="173" t="s">
        <v>26</v>
      </c>
      <c r="X32" s="169"/>
      <c r="Y32" s="170"/>
      <c r="Z32" s="44"/>
      <c r="AA32" s="45" t="s">
        <v>27</v>
      </c>
      <c r="AB32" s="174" t="s">
        <v>28</v>
      </c>
      <c r="AC32" s="92"/>
      <c r="AD32" s="6"/>
      <c r="AE32" s="6"/>
      <c r="AF32" s="6"/>
      <c r="AG32" s="6"/>
      <c r="AH32" s="41"/>
      <c r="AI32" s="41"/>
      <c r="AJ32" s="41"/>
      <c r="AK32" s="41"/>
      <c r="AL32" s="41"/>
      <c r="AM32" s="41"/>
      <c r="AN32" s="41"/>
      <c r="AO32" s="41"/>
      <c r="AP32" s="41"/>
      <c r="AQ32" s="42"/>
    </row>
    <row r="33" spans="1:43" ht="19.5" customHeight="1">
      <c r="A33" s="40"/>
      <c r="B33" s="41"/>
      <c r="C33" s="41"/>
      <c r="D33" s="41"/>
      <c r="E33" s="46" t="s">
        <v>29</v>
      </c>
      <c r="F33" s="180">
        <f>MAX(AL16:AL30)</f>
        <v>0</v>
      </c>
      <c r="G33" s="160"/>
      <c r="H33" s="41"/>
      <c r="I33" s="41"/>
      <c r="J33" s="41"/>
      <c r="K33" s="178" t="s">
        <v>30</v>
      </c>
      <c r="L33" s="133"/>
      <c r="M33" s="133"/>
      <c r="N33" s="134"/>
      <c r="O33" s="132">
        <f>COUNTIF(AL16:AL30,"&gt;0")</f>
        <v>0</v>
      </c>
      <c r="P33" s="133"/>
      <c r="Q33" s="134"/>
      <c r="R33" s="179">
        <f>O33/O32</f>
        <v>0</v>
      </c>
      <c r="S33" s="133"/>
      <c r="T33" s="160"/>
      <c r="U33" s="41"/>
      <c r="V33" s="41"/>
      <c r="W33" s="47" t="s">
        <v>31</v>
      </c>
      <c r="X33" s="132" t="s">
        <v>32</v>
      </c>
      <c r="Y33" s="134"/>
      <c r="Z33" s="48"/>
      <c r="AA33" s="49">
        <f>COUNTIFS(AL16:AL30,"&lt;=20",AL16:AL30,"&gt;=18")</f>
        <v>0</v>
      </c>
      <c r="AB33" s="179" t="e">
        <f t="shared" ref="AB33:AB36" si="24">AA33/$O$33</f>
        <v>#DIV/0!</v>
      </c>
      <c r="AC33" s="160"/>
      <c r="AD33" s="3"/>
      <c r="AE33" s="3"/>
      <c r="AF33" s="3"/>
      <c r="AG33" s="3"/>
      <c r="AH33" s="41"/>
      <c r="AI33" s="41"/>
      <c r="AJ33" s="41"/>
      <c r="AK33" s="41"/>
      <c r="AL33" s="41"/>
      <c r="AM33" s="41"/>
      <c r="AN33" s="41"/>
      <c r="AO33" s="41"/>
      <c r="AP33" s="41"/>
      <c r="AQ33" s="42"/>
    </row>
    <row r="34" spans="1:43" ht="19.5" customHeight="1">
      <c r="A34" s="40"/>
      <c r="B34" s="41"/>
      <c r="C34" s="41"/>
      <c r="D34" s="41"/>
      <c r="E34" s="46" t="s">
        <v>33</v>
      </c>
      <c r="F34" s="132"/>
      <c r="G34" s="160"/>
      <c r="H34" s="41"/>
      <c r="I34" s="41"/>
      <c r="J34" s="41"/>
      <c r="K34" s="178" t="s">
        <v>34</v>
      </c>
      <c r="L34" s="133"/>
      <c r="M34" s="133"/>
      <c r="N34" s="134"/>
      <c r="O34" s="132">
        <f>O32-O33</f>
        <v>15</v>
      </c>
      <c r="P34" s="133"/>
      <c r="Q34" s="134"/>
      <c r="R34" s="179">
        <f t="shared" ref="R34:R35" si="25">O34/O32</f>
        <v>1</v>
      </c>
      <c r="S34" s="133"/>
      <c r="T34" s="160"/>
      <c r="U34" s="41"/>
      <c r="V34" s="41"/>
      <c r="W34" s="47" t="s">
        <v>35</v>
      </c>
      <c r="X34" s="132" t="s">
        <v>36</v>
      </c>
      <c r="Y34" s="134"/>
      <c r="Z34" s="48"/>
      <c r="AA34" s="49">
        <f>COUNTIFS(AL16:AL30,"&lt;=17",AL16:AL30,"&gt;=14")</f>
        <v>0</v>
      </c>
      <c r="AB34" s="179" t="e">
        <f t="shared" si="24"/>
        <v>#DIV/0!</v>
      </c>
      <c r="AC34" s="160"/>
      <c r="AD34" s="3"/>
      <c r="AE34" s="3"/>
      <c r="AF34" s="3"/>
      <c r="AG34" s="3"/>
      <c r="AH34" s="41"/>
      <c r="AI34" s="41"/>
      <c r="AJ34" s="41"/>
      <c r="AK34" s="41"/>
      <c r="AL34" s="41"/>
      <c r="AM34" s="41"/>
      <c r="AN34" s="41"/>
      <c r="AO34" s="41"/>
      <c r="AP34" s="41"/>
      <c r="AQ34" s="42"/>
    </row>
    <row r="35" spans="1:43" ht="19.5" customHeight="1">
      <c r="A35" s="40"/>
      <c r="B35" s="41"/>
      <c r="C35" s="41"/>
      <c r="D35" s="41"/>
      <c r="E35" s="50" t="s">
        <v>37</v>
      </c>
      <c r="F35" s="166"/>
      <c r="G35" s="113"/>
      <c r="H35" s="41"/>
      <c r="I35" s="41"/>
      <c r="J35" s="41"/>
      <c r="K35" s="178" t="s">
        <v>38</v>
      </c>
      <c r="L35" s="133"/>
      <c r="M35" s="133"/>
      <c r="N35" s="134"/>
      <c r="O35" s="132">
        <f>COUNTIF(AL16:AL30,"&gt;=11")</f>
        <v>0</v>
      </c>
      <c r="P35" s="133"/>
      <c r="Q35" s="134"/>
      <c r="R35" s="179" t="e">
        <f t="shared" si="25"/>
        <v>#DIV/0!</v>
      </c>
      <c r="S35" s="133"/>
      <c r="T35" s="160"/>
      <c r="U35" s="41"/>
      <c r="V35" s="41"/>
      <c r="W35" s="47" t="s">
        <v>39</v>
      </c>
      <c r="X35" s="132" t="s">
        <v>40</v>
      </c>
      <c r="Y35" s="134"/>
      <c r="Z35" s="48"/>
      <c r="AA35" s="49">
        <f>COUNTIFS(AL16:AL30,"&lt;=13",AL16:AL30,"&gt;=11")</f>
        <v>0</v>
      </c>
      <c r="AB35" s="179" t="e">
        <f t="shared" si="24"/>
        <v>#DIV/0!</v>
      </c>
      <c r="AC35" s="160"/>
      <c r="AD35" s="3"/>
      <c r="AE35" s="3"/>
      <c r="AF35" s="3"/>
      <c r="AG35" s="3"/>
      <c r="AH35" s="41"/>
      <c r="AI35" s="41"/>
      <c r="AJ35" s="41"/>
      <c r="AK35" s="41"/>
      <c r="AL35" s="41"/>
      <c r="AM35" s="41"/>
      <c r="AN35" s="41"/>
      <c r="AO35" s="41"/>
      <c r="AP35" s="41"/>
      <c r="AQ35" s="42"/>
    </row>
    <row r="36" spans="1:43" ht="19.5" customHeight="1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177" t="s">
        <v>41</v>
      </c>
      <c r="L36" s="112"/>
      <c r="M36" s="112"/>
      <c r="N36" s="128"/>
      <c r="O36" s="166">
        <f>O33-O35</f>
        <v>0</v>
      </c>
      <c r="P36" s="112"/>
      <c r="Q36" s="128"/>
      <c r="R36" s="167" t="e">
        <f>O36/O33</f>
        <v>#DIV/0!</v>
      </c>
      <c r="S36" s="112"/>
      <c r="T36" s="113"/>
      <c r="U36" s="41"/>
      <c r="V36" s="41"/>
      <c r="W36" s="51" t="s">
        <v>42</v>
      </c>
      <c r="X36" s="166" t="s">
        <v>43</v>
      </c>
      <c r="Y36" s="128"/>
      <c r="Z36" s="52"/>
      <c r="AA36" s="53">
        <f>COUNTIFS(AL16:AL30,"&lt;=10",AL16:AL30,"&gt;=0")</f>
        <v>0</v>
      </c>
      <c r="AB36" s="167" t="e">
        <f t="shared" si="24"/>
        <v>#DIV/0!</v>
      </c>
      <c r="AC36" s="113"/>
      <c r="AD36" s="3"/>
      <c r="AE36" s="3"/>
      <c r="AF36" s="3"/>
      <c r="AG36" s="3"/>
      <c r="AH36" s="41"/>
      <c r="AI36" s="41"/>
      <c r="AJ36" s="41"/>
      <c r="AK36" s="41"/>
      <c r="AL36" s="41"/>
      <c r="AM36" s="41"/>
      <c r="AN36" s="41"/>
      <c r="AO36" s="41"/>
      <c r="AP36" s="41"/>
      <c r="AQ36" s="42"/>
    </row>
    <row r="37" spans="1:43" ht="15.75" customHeight="1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2"/>
    </row>
    <row r="38" spans="1:43" ht="19.5" customHeight="1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175"/>
      <c r="AE38" s="106"/>
      <c r="AF38" s="54"/>
      <c r="AG38" s="80" t="s">
        <v>51</v>
      </c>
      <c r="AH38" s="81">
        <v>7</v>
      </c>
      <c r="AI38" s="55">
        <v>8</v>
      </c>
      <c r="AJ38" s="56">
        <v>25</v>
      </c>
      <c r="AK38" s="41"/>
      <c r="AL38" s="41"/>
      <c r="AM38" s="41"/>
      <c r="AN38" s="41"/>
      <c r="AO38" s="41"/>
      <c r="AP38" s="41"/>
      <c r="AQ38" s="42"/>
    </row>
    <row r="39" spans="1:43" ht="15.75" customHeight="1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2"/>
    </row>
    <row r="40" spans="1:43" ht="15.75" customHeight="1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2"/>
    </row>
    <row r="41" spans="1:43" ht="15.75" customHeight="1">
      <c r="A41" s="57"/>
      <c r="B41" s="58"/>
      <c r="C41" s="58"/>
      <c r="D41" s="58"/>
      <c r="E41" s="59" t="s">
        <v>45</v>
      </c>
      <c r="F41" s="58"/>
      <c r="G41" s="58"/>
      <c r="H41" s="58"/>
      <c r="I41" s="58"/>
      <c r="J41" s="58"/>
      <c r="K41" s="58"/>
      <c r="L41" s="58"/>
      <c r="M41" s="58"/>
      <c r="N41" s="165" t="s">
        <v>46</v>
      </c>
      <c r="O41" s="112"/>
      <c r="P41" s="112"/>
      <c r="Q41" s="112"/>
      <c r="R41" s="112"/>
      <c r="S41" s="112"/>
      <c r="T41" s="112"/>
      <c r="U41" s="112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60"/>
    </row>
    <row r="42" spans="1:43" ht="15.75" customHeight="1"/>
    <row r="43" spans="1:43" ht="15.75" customHeight="1"/>
    <row r="44" spans="1:43" ht="15.75" customHeight="1"/>
    <row r="45" spans="1:43" ht="15.75" customHeight="1"/>
    <row r="46" spans="1:43" ht="15.75" customHeight="1"/>
    <row r="47" spans="1:43" ht="15.75" customHeight="1"/>
    <row r="48" spans="1:4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sortState xmlns:xlrd2="http://schemas.microsoft.com/office/spreadsheetml/2017/richdata2" ref="B16:E24">
    <sortCondition ref="B16:B24"/>
  </sortState>
  <mergeCells count="108">
    <mergeCell ref="N41:U41"/>
    <mergeCell ref="O36:Q36"/>
    <mergeCell ref="R36:T36"/>
    <mergeCell ref="X36:Y36"/>
    <mergeCell ref="AD38:AE38"/>
    <mergeCell ref="F35:G35"/>
    <mergeCell ref="X35:Y35"/>
    <mergeCell ref="X34:Y34"/>
    <mergeCell ref="X33:Y33"/>
    <mergeCell ref="K36:N36"/>
    <mergeCell ref="K35:N35"/>
    <mergeCell ref="F34:G34"/>
    <mergeCell ref="K34:N34"/>
    <mergeCell ref="K33:N33"/>
    <mergeCell ref="O35:Q35"/>
    <mergeCell ref="R35:T35"/>
    <mergeCell ref="O34:Q34"/>
    <mergeCell ref="R34:T34"/>
    <mergeCell ref="O33:Q33"/>
    <mergeCell ref="R33:T33"/>
    <mergeCell ref="AB36:AC36"/>
    <mergeCell ref="AB35:AC35"/>
    <mergeCell ref="AB34:AC34"/>
    <mergeCell ref="A1:D4"/>
    <mergeCell ref="B16:E16"/>
    <mergeCell ref="B17:E17"/>
    <mergeCell ref="B18:E18"/>
    <mergeCell ref="B19:E19"/>
    <mergeCell ref="B20:E20"/>
    <mergeCell ref="B21:E21"/>
    <mergeCell ref="A5:A15"/>
    <mergeCell ref="B25:E25"/>
    <mergeCell ref="B26:E26"/>
    <mergeCell ref="B27:E27"/>
    <mergeCell ref="B30:E30"/>
    <mergeCell ref="K32:N32"/>
    <mergeCell ref="O32:Q32"/>
    <mergeCell ref="F32:G32"/>
    <mergeCell ref="B29:E29"/>
    <mergeCell ref="B28:E28"/>
    <mergeCell ref="F6:K7"/>
    <mergeCell ref="L6:L15"/>
    <mergeCell ref="F1:AQ2"/>
    <mergeCell ref="I3:N3"/>
    <mergeCell ref="O3:Q3"/>
    <mergeCell ref="R3:V3"/>
    <mergeCell ref="AP6:AP15"/>
    <mergeCell ref="AQ5:AQ15"/>
    <mergeCell ref="S6:S15"/>
    <mergeCell ref="R8:R15"/>
    <mergeCell ref="AJ3:AQ3"/>
    <mergeCell ref="AJ4:AQ4"/>
    <mergeCell ref="F3:H3"/>
    <mergeCell ref="F8:F15"/>
    <mergeCell ref="AH3:AI3"/>
    <mergeCell ref="I4:V4"/>
    <mergeCell ref="W4:AA4"/>
    <mergeCell ref="AB4:AE4"/>
    <mergeCell ref="AH4:AI4"/>
    <mergeCell ref="AH6:AH15"/>
    <mergeCell ref="W3:AA3"/>
    <mergeCell ref="AB3:AE3"/>
    <mergeCell ref="M6:R7"/>
    <mergeCell ref="T6:Y7"/>
    <mergeCell ref="AM5:AP5"/>
    <mergeCell ref="K8:K15"/>
    <mergeCell ref="AB32:AC32"/>
    <mergeCell ref="AB33:AC33"/>
    <mergeCell ref="AO6:AO15"/>
    <mergeCell ref="AH5:AK5"/>
    <mergeCell ref="AK6:AK15"/>
    <mergeCell ref="F33:G33"/>
    <mergeCell ref="AA6:AF7"/>
    <mergeCell ref="M8:M15"/>
    <mergeCell ref="N8:N15"/>
    <mergeCell ref="O8:O15"/>
    <mergeCell ref="R32:T32"/>
    <mergeCell ref="W32:Y32"/>
    <mergeCell ref="P8:P15"/>
    <mergeCell ref="Q8:Q15"/>
    <mergeCell ref="AD8:AD15"/>
    <mergeCell ref="AE8:AE15"/>
    <mergeCell ref="AF8:AF15"/>
    <mergeCell ref="AN6:AN15"/>
    <mergeCell ref="AL5:AL15"/>
    <mergeCell ref="AM6:AM15"/>
    <mergeCell ref="AG5:AG15"/>
    <mergeCell ref="AI6:AI15"/>
    <mergeCell ref="AJ6:AJ15"/>
    <mergeCell ref="F5:AF5"/>
    <mergeCell ref="Y8:Y15"/>
    <mergeCell ref="Z7:Z15"/>
    <mergeCell ref="B24:E24"/>
    <mergeCell ref="AC8:AC15"/>
    <mergeCell ref="B22:E22"/>
    <mergeCell ref="B23:E23"/>
    <mergeCell ref="B5:E15"/>
    <mergeCell ref="AB8:AB15"/>
    <mergeCell ref="G8:G15"/>
    <mergeCell ref="H8:H15"/>
    <mergeCell ref="I8:I15"/>
    <mergeCell ref="J8:J15"/>
    <mergeCell ref="AA8:AA15"/>
    <mergeCell ref="T8:T15"/>
    <mergeCell ref="U8:U15"/>
    <mergeCell ref="V8:V15"/>
    <mergeCell ref="W8:W15"/>
    <mergeCell ref="X8:X15"/>
  </mergeCells>
  <conditionalFormatting sqref="F16:K16 T16:Y16 K16:K30 R16:R29 Y16:Y30 AH16:AL30 M16:M29 M30:R30 AF16:AF29 F17:J30 T17:X30 AA30:AF30">
    <cfRule type="cellIs" dxfId="57" priority="1" operator="equal">
      <formula>10.5</formula>
    </cfRule>
  </conditionalFormatting>
  <conditionalFormatting sqref="F16:K16 T16:Y16 K16:K30 R16:R29 Y16:Y30 AH16:AL30 M16:M29 M30:R30 AF16:AF29 F17:J30 T17:X30 AA30:AF30">
    <cfRule type="cellIs" dxfId="56" priority="2" operator="lessThan">
      <formula>0</formula>
    </cfRule>
  </conditionalFormatting>
  <conditionalFormatting sqref="F16:K16 T16:Y16 K16:K30 R16:R29 Y16:Y30 AH16:AL30 M16:M29 M30:R30 AF16:AF29 F17:J30 T17:X30 AA30:AF30">
    <cfRule type="cellIs" dxfId="55" priority="3" operator="lessThan">
      <formula>10.5</formula>
    </cfRule>
  </conditionalFormatting>
  <conditionalFormatting sqref="F16:K16 T16:Y16 K16:K30 R16:R29 Y16:Y30 AH16:AL30 M16:M29 M30:R30 AF16:AF29 F17:J30 T17:X30 AA30:AF30">
    <cfRule type="cellIs" dxfId="54" priority="4" operator="greaterThan">
      <formula>20</formula>
    </cfRule>
  </conditionalFormatting>
  <conditionalFormatting sqref="F16:K16 T16:Y16 K16:K30 R16:R29 Y16:Y30 AH16:AL30 M16:M29 M30:R30 AF16:AF29 F17:J30 T17:X30 AA30:AF30">
    <cfRule type="cellIs" dxfId="53" priority="5" operator="greaterThan">
      <formula>10.5</formula>
    </cfRule>
  </conditionalFormatting>
  <conditionalFormatting sqref="N16:Q29">
    <cfRule type="cellIs" dxfId="52" priority="21" operator="equal">
      <formula>10.5</formula>
    </cfRule>
  </conditionalFormatting>
  <conditionalFormatting sqref="N16:Q29">
    <cfRule type="cellIs" dxfId="51" priority="22" operator="lessThan">
      <formula>0</formula>
    </cfRule>
  </conditionalFormatting>
  <conditionalFormatting sqref="N16:Q29">
    <cfRule type="cellIs" dxfId="50" priority="23" operator="lessThan">
      <formula>10.5</formula>
    </cfRule>
  </conditionalFormatting>
  <conditionalFormatting sqref="N16:Q29">
    <cfRule type="cellIs" dxfId="49" priority="24" operator="greaterThan">
      <formula>20</formula>
    </cfRule>
  </conditionalFormatting>
  <conditionalFormatting sqref="N16:Q29">
    <cfRule type="cellIs" dxfId="48" priority="25" operator="greaterThan">
      <formula>10.5</formula>
    </cfRule>
  </conditionalFormatting>
  <conditionalFormatting sqref="AM16:AQ30">
    <cfRule type="cellIs" dxfId="47" priority="26" operator="equal">
      <formula>"C"</formula>
    </cfRule>
  </conditionalFormatting>
  <conditionalFormatting sqref="AM16:AQ30">
    <cfRule type="cellIs" dxfId="46" priority="27" operator="equal">
      <formula>"B"</formula>
    </cfRule>
  </conditionalFormatting>
  <conditionalFormatting sqref="AM16:AQ30">
    <cfRule type="cellIs" dxfId="45" priority="28" operator="equal">
      <formula>"A"</formula>
    </cfRule>
  </conditionalFormatting>
  <conditionalFormatting sqref="AM16:AQ30">
    <cfRule type="cellIs" dxfId="44" priority="29" operator="equal">
      <formula>"AD"</formula>
    </cfRule>
  </conditionalFormatting>
  <conditionalFormatting sqref="AA16:AE17">
    <cfRule type="cellIs" dxfId="43" priority="50" operator="equal">
      <formula>10.5</formula>
    </cfRule>
  </conditionalFormatting>
  <conditionalFormatting sqref="AA16:AE17">
    <cfRule type="cellIs" dxfId="42" priority="51" operator="lessThan">
      <formula>0</formula>
    </cfRule>
  </conditionalFormatting>
  <conditionalFormatting sqref="AA16:AE17">
    <cfRule type="cellIs" dxfId="41" priority="52" operator="lessThan">
      <formula>10.5</formula>
    </cfRule>
  </conditionalFormatting>
  <conditionalFormatting sqref="AA16:AE17">
    <cfRule type="cellIs" dxfId="40" priority="53" operator="greaterThan">
      <formula>20</formula>
    </cfRule>
  </conditionalFormatting>
  <conditionalFormatting sqref="AA16:AE17">
    <cfRule type="cellIs" dxfId="39" priority="54" operator="greaterThan">
      <formula>10.5</formula>
    </cfRule>
  </conditionalFormatting>
  <conditionalFormatting sqref="AA18:AE29">
    <cfRule type="cellIs" dxfId="38" priority="55" operator="equal">
      <formula>10.5</formula>
    </cfRule>
  </conditionalFormatting>
  <conditionalFormatting sqref="AA18:AE29">
    <cfRule type="cellIs" dxfId="37" priority="56" operator="lessThan">
      <formula>0</formula>
    </cfRule>
  </conditionalFormatting>
  <conditionalFormatting sqref="AA18:AE29">
    <cfRule type="cellIs" dxfId="36" priority="57" operator="lessThan">
      <formula>10.5</formula>
    </cfRule>
  </conditionalFormatting>
  <conditionalFormatting sqref="AA18:AE29">
    <cfRule type="cellIs" dxfId="35" priority="58" operator="greaterThan">
      <formula>20</formula>
    </cfRule>
  </conditionalFormatting>
  <conditionalFormatting sqref="AA18:AE29">
    <cfRule type="cellIs" dxfId="34" priority="59" operator="greaterThan">
      <formula>10.5</formula>
    </cfRule>
  </conditionalFormatting>
  <printOptions horizontalCentered="1" verticalCentered="1"/>
  <pageMargins left="0" right="0" top="0" bottom="0" header="0" footer="0"/>
  <pageSetup paperSize="9" scale="5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95"/>
  <sheetViews>
    <sheetView topLeftCell="W1" workbookViewId="0">
      <selection activeCell="AE8" sqref="AE8:AE15"/>
    </sheetView>
  </sheetViews>
  <sheetFormatPr baseColWidth="10" defaultColWidth="14.42578125" defaultRowHeight="15" customHeight="1"/>
  <cols>
    <col min="1" max="4" width="3.5703125" customWidth="1"/>
    <col min="5" max="5" width="37.85546875" customWidth="1"/>
    <col min="6" max="10" width="4.7109375" customWidth="1"/>
    <col min="11" max="11" width="6.7109375" customWidth="1"/>
    <col min="12" max="12" width="36.85546875" customWidth="1"/>
    <col min="13" max="17" width="4.7109375" customWidth="1"/>
    <col min="18" max="18" width="6.7109375" customWidth="1"/>
    <col min="19" max="19" width="39.85546875" customWidth="1"/>
    <col min="20" max="24" width="4.7109375" customWidth="1"/>
    <col min="25" max="25" width="6.7109375" customWidth="1"/>
    <col min="26" max="26" width="36.85546875" customWidth="1"/>
    <col min="27" max="31" width="4.7109375" customWidth="1"/>
    <col min="32" max="32" width="6.7109375" customWidth="1"/>
    <col min="33" max="33" width="38.42578125" customWidth="1"/>
    <col min="34" max="43" width="6.7109375" customWidth="1"/>
    <col min="44" max="44" width="10.7109375" customWidth="1"/>
  </cols>
  <sheetData>
    <row r="1" spans="1:43" ht="24.75" customHeight="1">
      <c r="A1" s="117"/>
      <c r="B1" s="103"/>
      <c r="C1" s="103"/>
      <c r="D1" s="103"/>
      <c r="E1" s="1" t="s">
        <v>0</v>
      </c>
      <c r="F1" s="130" t="s">
        <v>106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4"/>
    </row>
    <row r="2" spans="1:43" ht="24.75" customHeight="1">
      <c r="A2" s="118"/>
      <c r="B2" s="106"/>
      <c r="C2" s="106"/>
      <c r="D2" s="106"/>
      <c r="E2" s="2" t="s">
        <v>1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7"/>
    </row>
    <row r="3" spans="1:43" ht="19.5" customHeight="1">
      <c r="A3" s="118"/>
      <c r="B3" s="106"/>
      <c r="C3" s="106"/>
      <c r="D3" s="106"/>
      <c r="E3" s="2" t="s">
        <v>2</v>
      </c>
      <c r="F3" s="131" t="s">
        <v>3</v>
      </c>
      <c r="G3" s="106"/>
      <c r="H3" s="106"/>
      <c r="I3" s="132" t="s">
        <v>4</v>
      </c>
      <c r="J3" s="133"/>
      <c r="K3" s="133"/>
      <c r="L3" s="133"/>
      <c r="M3" s="133"/>
      <c r="N3" s="134"/>
      <c r="O3" s="135" t="s">
        <v>5</v>
      </c>
      <c r="P3" s="136"/>
      <c r="Q3" s="137"/>
      <c r="R3" s="132" t="s">
        <v>52</v>
      </c>
      <c r="S3" s="133"/>
      <c r="T3" s="133"/>
      <c r="U3" s="133"/>
      <c r="V3" s="134"/>
      <c r="W3" s="131" t="s">
        <v>7</v>
      </c>
      <c r="X3" s="106"/>
      <c r="Y3" s="106"/>
      <c r="Z3" s="106"/>
      <c r="AA3" s="106"/>
      <c r="AB3" s="132" t="s">
        <v>8</v>
      </c>
      <c r="AC3" s="133"/>
      <c r="AD3" s="133"/>
      <c r="AE3" s="134"/>
      <c r="AF3" s="3"/>
      <c r="AG3" s="3"/>
      <c r="AH3" s="131" t="s">
        <v>9</v>
      </c>
      <c r="AI3" s="106"/>
      <c r="AJ3" s="159"/>
      <c r="AK3" s="133"/>
      <c r="AL3" s="133"/>
      <c r="AM3" s="133"/>
      <c r="AN3" s="133"/>
      <c r="AO3" s="133"/>
      <c r="AP3" s="133"/>
      <c r="AQ3" s="160"/>
    </row>
    <row r="4" spans="1:43" ht="19.5" customHeight="1" thickBot="1">
      <c r="A4" s="119"/>
      <c r="B4" s="109"/>
      <c r="C4" s="109"/>
      <c r="D4" s="109"/>
      <c r="E4" s="4" t="s">
        <v>10</v>
      </c>
      <c r="F4" s="5" t="s">
        <v>11</v>
      </c>
      <c r="G4" s="5"/>
      <c r="H4" s="5"/>
      <c r="I4" s="127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28"/>
      <c r="W4" s="129" t="s">
        <v>13</v>
      </c>
      <c r="X4" s="109"/>
      <c r="Y4" s="109"/>
      <c r="Z4" s="109"/>
      <c r="AA4" s="109"/>
      <c r="AB4" s="127" t="s">
        <v>12</v>
      </c>
      <c r="AC4" s="112"/>
      <c r="AD4" s="112"/>
      <c r="AE4" s="128"/>
      <c r="AF4" s="6"/>
      <c r="AG4" s="6"/>
      <c r="AH4" s="129" t="s">
        <v>14</v>
      </c>
      <c r="AI4" s="109"/>
      <c r="AJ4" s="127"/>
      <c r="AK4" s="112"/>
      <c r="AL4" s="112"/>
      <c r="AM4" s="112"/>
      <c r="AN4" s="112"/>
      <c r="AO4" s="112"/>
      <c r="AP4" s="112"/>
      <c r="AQ4" s="113"/>
    </row>
    <row r="5" spans="1:43" ht="19.5" customHeight="1" thickBot="1">
      <c r="A5" s="99" t="s">
        <v>15</v>
      </c>
      <c r="B5" s="102" t="s">
        <v>16</v>
      </c>
      <c r="C5" s="103"/>
      <c r="D5" s="103"/>
      <c r="E5" s="104"/>
      <c r="F5" s="124" t="s">
        <v>17</v>
      </c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63"/>
      <c r="AG5" s="224" t="s">
        <v>18</v>
      </c>
      <c r="AH5" s="162" t="s">
        <v>19</v>
      </c>
      <c r="AI5" s="125"/>
      <c r="AJ5" s="125"/>
      <c r="AK5" s="163"/>
      <c r="AL5" s="145" t="s">
        <v>20</v>
      </c>
      <c r="AM5" s="162" t="s">
        <v>21</v>
      </c>
      <c r="AN5" s="125"/>
      <c r="AO5" s="125"/>
      <c r="AP5" s="163"/>
      <c r="AQ5" s="145" t="s">
        <v>22</v>
      </c>
    </row>
    <row r="6" spans="1:43" ht="19.5" customHeight="1">
      <c r="A6" s="100"/>
      <c r="B6" s="105"/>
      <c r="C6" s="106"/>
      <c r="D6" s="106"/>
      <c r="E6" s="107"/>
      <c r="F6" s="148"/>
      <c r="G6" s="149"/>
      <c r="H6" s="149"/>
      <c r="I6" s="149"/>
      <c r="J6" s="149"/>
      <c r="K6" s="150"/>
      <c r="L6" s="157" t="s">
        <v>18</v>
      </c>
      <c r="M6" s="148"/>
      <c r="N6" s="149"/>
      <c r="O6" s="149"/>
      <c r="P6" s="149"/>
      <c r="Q6" s="149"/>
      <c r="R6" s="150"/>
      <c r="S6" s="69"/>
      <c r="T6" s="148"/>
      <c r="U6" s="149"/>
      <c r="V6" s="149"/>
      <c r="W6" s="149"/>
      <c r="X6" s="149"/>
      <c r="Y6" s="150"/>
      <c r="Z6" s="157" t="s">
        <v>18</v>
      </c>
      <c r="AA6" s="148"/>
      <c r="AB6" s="149"/>
      <c r="AC6" s="149"/>
      <c r="AD6" s="149"/>
      <c r="AE6" s="149"/>
      <c r="AF6" s="150"/>
      <c r="AG6" s="146"/>
      <c r="AH6" s="164"/>
      <c r="AI6" s="158"/>
      <c r="AJ6" s="158"/>
      <c r="AK6" s="161"/>
      <c r="AL6" s="146"/>
      <c r="AM6" s="164"/>
      <c r="AN6" s="158"/>
      <c r="AO6" s="158"/>
      <c r="AP6" s="161"/>
      <c r="AQ6" s="146"/>
    </row>
    <row r="7" spans="1:43" ht="57" customHeight="1" thickBot="1">
      <c r="A7" s="100"/>
      <c r="B7" s="105"/>
      <c r="C7" s="106"/>
      <c r="D7" s="106"/>
      <c r="E7" s="107"/>
      <c r="F7" s="151"/>
      <c r="G7" s="152"/>
      <c r="H7" s="152"/>
      <c r="I7" s="152"/>
      <c r="J7" s="152"/>
      <c r="K7" s="140"/>
      <c r="L7" s="146"/>
      <c r="M7" s="151"/>
      <c r="N7" s="152"/>
      <c r="O7" s="152"/>
      <c r="P7" s="152"/>
      <c r="Q7" s="152"/>
      <c r="R7" s="140"/>
      <c r="S7" s="218" t="s">
        <v>18</v>
      </c>
      <c r="T7" s="151"/>
      <c r="U7" s="152"/>
      <c r="V7" s="152"/>
      <c r="W7" s="152"/>
      <c r="X7" s="152"/>
      <c r="Y7" s="140"/>
      <c r="Z7" s="146"/>
      <c r="AA7" s="151"/>
      <c r="AB7" s="152"/>
      <c r="AC7" s="152"/>
      <c r="AD7" s="152"/>
      <c r="AE7" s="152"/>
      <c r="AF7" s="140"/>
      <c r="AG7" s="146"/>
      <c r="AH7" s="100"/>
      <c r="AI7" s="122"/>
      <c r="AJ7" s="122"/>
      <c r="AK7" s="122"/>
      <c r="AL7" s="146"/>
      <c r="AM7" s="100"/>
      <c r="AN7" s="122"/>
      <c r="AO7" s="122"/>
      <c r="AP7" s="122"/>
      <c r="AQ7" s="146"/>
    </row>
    <row r="8" spans="1:43" ht="19.5" customHeight="1">
      <c r="A8" s="100"/>
      <c r="B8" s="105"/>
      <c r="C8" s="106"/>
      <c r="D8" s="106"/>
      <c r="E8" s="107"/>
      <c r="F8" s="120"/>
      <c r="G8" s="121"/>
      <c r="H8" s="141"/>
      <c r="I8" s="141"/>
      <c r="J8" s="142"/>
      <c r="K8" s="145" t="s">
        <v>23</v>
      </c>
      <c r="L8" s="146"/>
      <c r="M8" s="120"/>
      <c r="N8" s="121"/>
      <c r="O8" s="141"/>
      <c r="P8" s="141"/>
      <c r="Q8" s="142"/>
      <c r="R8" s="145" t="s">
        <v>23</v>
      </c>
      <c r="S8" s="146"/>
      <c r="T8" s="120"/>
      <c r="U8" s="121"/>
      <c r="V8" s="141"/>
      <c r="W8" s="141"/>
      <c r="X8" s="142"/>
      <c r="Y8" s="145" t="s">
        <v>23</v>
      </c>
      <c r="Z8" s="146"/>
      <c r="AA8" s="120"/>
      <c r="AB8" s="121"/>
      <c r="AC8" s="141"/>
      <c r="AD8" s="141"/>
      <c r="AE8" s="225"/>
      <c r="AF8" s="200" t="s">
        <v>23</v>
      </c>
      <c r="AG8" s="146"/>
      <c r="AH8" s="100"/>
      <c r="AI8" s="122"/>
      <c r="AJ8" s="122"/>
      <c r="AK8" s="122"/>
      <c r="AL8" s="146"/>
      <c r="AM8" s="100"/>
      <c r="AN8" s="122"/>
      <c r="AO8" s="122"/>
      <c r="AP8" s="122"/>
      <c r="AQ8" s="146"/>
    </row>
    <row r="9" spans="1:43" ht="19.5" customHeight="1">
      <c r="A9" s="100"/>
      <c r="B9" s="105"/>
      <c r="C9" s="106"/>
      <c r="D9" s="106"/>
      <c r="E9" s="107"/>
      <c r="F9" s="100"/>
      <c r="G9" s="122"/>
      <c r="H9" s="105"/>
      <c r="I9" s="105"/>
      <c r="J9" s="143"/>
      <c r="K9" s="146"/>
      <c r="L9" s="146"/>
      <c r="M9" s="100"/>
      <c r="N9" s="122"/>
      <c r="O9" s="105"/>
      <c r="P9" s="105"/>
      <c r="Q9" s="143"/>
      <c r="R9" s="146"/>
      <c r="S9" s="146"/>
      <c r="T9" s="100"/>
      <c r="U9" s="122"/>
      <c r="V9" s="105"/>
      <c r="W9" s="105"/>
      <c r="X9" s="143"/>
      <c r="Y9" s="146"/>
      <c r="Z9" s="146"/>
      <c r="AA9" s="100"/>
      <c r="AB9" s="122"/>
      <c r="AC9" s="105"/>
      <c r="AD9" s="105"/>
      <c r="AE9" s="226"/>
      <c r="AF9" s="201"/>
      <c r="AG9" s="146"/>
      <c r="AH9" s="100"/>
      <c r="AI9" s="122"/>
      <c r="AJ9" s="122"/>
      <c r="AK9" s="122"/>
      <c r="AL9" s="146"/>
      <c r="AM9" s="100"/>
      <c r="AN9" s="122"/>
      <c r="AO9" s="122"/>
      <c r="AP9" s="122"/>
      <c r="AQ9" s="146"/>
    </row>
    <row r="10" spans="1:43" ht="19.5" customHeight="1">
      <c r="A10" s="100"/>
      <c r="B10" s="105"/>
      <c r="C10" s="106"/>
      <c r="D10" s="106"/>
      <c r="E10" s="107"/>
      <c r="F10" s="100"/>
      <c r="G10" s="122"/>
      <c r="H10" s="105"/>
      <c r="I10" s="105"/>
      <c r="J10" s="143"/>
      <c r="K10" s="146"/>
      <c r="L10" s="146"/>
      <c r="M10" s="100"/>
      <c r="N10" s="122"/>
      <c r="O10" s="105"/>
      <c r="P10" s="105"/>
      <c r="Q10" s="143"/>
      <c r="R10" s="146"/>
      <c r="S10" s="146"/>
      <c r="T10" s="100"/>
      <c r="U10" s="122"/>
      <c r="V10" s="105"/>
      <c r="W10" s="105"/>
      <c r="X10" s="143"/>
      <c r="Y10" s="146"/>
      <c r="Z10" s="146"/>
      <c r="AA10" s="100"/>
      <c r="AB10" s="122"/>
      <c r="AC10" s="105"/>
      <c r="AD10" s="105"/>
      <c r="AE10" s="226"/>
      <c r="AF10" s="201"/>
      <c r="AG10" s="146"/>
      <c r="AH10" s="100"/>
      <c r="AI10" s="122"/>
      <c r="AJ10" s="122"/>
      <c r="AK10" s="122"/>
      <c r="AL10" s="146"/>
      <c r="AM10" s="100"/>
      <c r="AN10" s="122"/>
      <c r="AO10" s="122"/>
      <c r="AP10" s="122"/>
      <c r="AQ10" s="146"/>
    </row>
    <row r="11" spans="1:43" ht="19.5" customHeight="1">
      <c r="A11" s="100"/>
      <c r="B11" s="105"/>
      <c r="C11" s="106"/>
      <c r="D11" s="106"/>
      <c r="E11" s="107"/>
      <c r="F11" s="100"/>
      <c r="G11" s="122"/>
      <c r="H11" s="105"/>
      <c r="I11" s="105"/>
      <c r="J11" s="143"/>
      <c r="K11" s="146"/>
      <c r="L11" s="146"/>
      <c r="M11" s="100"/>
      <c r="N11" s="122"/>
      <c r="O11" s="105"/>
      <c r="P11" s="105"/>
      <c r="Q11" s="143"/>
      <c r="R11" s="146"/>
      <c r="S11" s="146"/>
      <c r="T11" s="100"/>
      <c r="U11" s="122"/>
      <c r="V11" s="105"/>
      <c r="W11" s="105"/>
      <c r="X11" s="143"/>
      <c r="Y11" s="146"/>
      <c r="Z11" s="146"/>
      <c r="AA11" s="100"/>
      <c r="AB11" s="122"/>
      <c r="AC11" s="105"/>
      <c r="AD11" s="105"/>
      <c r="AE11" s="226"/>
      <c r="AF11" s="201"/>
      <c r="AG11" s="146"/>
      <c r="AH11" s="100"/>
      <c r="AI11" s="122"/>
      <c r="AJ11" s="122"/>
      <c r="AK11" s="122"/>
      <c r="AL11" s="146"/>
      <c r="AM11" s="100"/>
      <c r="AN11" s="122"/>
      <c r="AO11" s="122"/>
      <c r="AP11" s="122"/>
      <c r="AQ11" s="146"/>
    </row>
    <row r="12" spans="1:43" ht="19.5" customHeight="1">
      <c r="A12" s="100"/>
      <c r="B12" s="105"/>
      <c r="C12" s="106"/>
      <c r="D12" s="106"/>
      <c r="E12" s="107"/>
      <c r="F12" s="100"/>
      <c r="G12" s="122"/>
      <c r="H12" s="105"/>
      <c r="I12" s="105"/>
      <c r="J12" s="143"/>
      <c r="K12" s="146"/>
      <c r="L12" s="146"/>
      <c r="M12" s="100"/>
      <c r="N12" s="122"/>
      <c r="O12" s="105"/>
      <c r="P12" s="105"/>
      <c r="Q12" s="143"/>
      <c r="R12" s="146"/>
      <c r="S12" s="146"/>
      <c r="T12" s="100"/>
      <c r="U12" s="122"/>
      <c r="V12" s="105"/>
      <c r="W12" s="105"/>
      <c r="X12" s="143"/>
      <c r="Y12" s="146"/>
      <c r="Z12" s="146"/>
      <c r="AA12" s="100"/>
      <c r="AB12" s="122"/>
      <c r="AC12" s="105"/>
      <c r="AD12" s="105"/>
      <c r="AE12" s="226"/>
      <c r="AF12" s="201"/>
      <c r="AG12" s="146"/>
      <c r="AH12" s="100"/>
      <c r="AI12" s="122"/>
      <c r="AJ12" s="122"/>
      <c r="AK12" s="122"/>
      <c r="AL12" s="146"/>
      <c r="AM12" s="100"/>
      <c r="AN12" s="122"/>
      <c r="AO12" s="122"/>
      <c r="AP12" s="122"/>
      <c r="AQ12" s="146"/>
    </row>
    <row r="13" spans="1:43" ht="19.5" customHeight="1">
      <c r="A13" s="100"/>
      <c r="B13" s="105"/>
      <c r="C13" s="106"/>
      <c r="D13" s="106"/>
      <c r="E13" s="107"/>
      <c r="F13" s="100"/>
      <c r="G13" s="122"/>
      <c r="H13" s="105"/>
      <c r="I13" s="105"/>
      <c r="J13" s="143"/>
      <c r="K13" s="146"/>
      <c r="L13" s="146"/>
      <c r="M13" s="100"/>
      <c r="N13" s="122"/>
      <c r="O13" s="105"/>
      <c r="P13" s="105"/>
      <c r="Q13" s="143"/>
      <c r="R13" s="146"/>
      <c r="S13" s="146"/>
      <c r="T13" s="100"/>
      <c r="U13" s="122"/>
      <c r="V13" s="105"/>
      <c r="W13" s="105"/>
      <c r="X13" s="143"/>
      <c r="Y13" s="146"/>
      <c r="Z13" s="146"/>
      <c r="AA13" s="100"/>
      <c r="AB13" s="122"/>
      <c r="AC13" s="105"/>
      <c r="AD13" s="105"/>
      <c r="AE13" s="226"/>
      <c r="AF13" s="201"/>
      <c r="AG13" s="146"/>
      <c r="AH13" s="100"/>
      <c r="AI13" s="122"/>
      <c r="AJ13" s="122"/>
      <c r="AK13" s="122"/>
      <c r="AL13" s="146"/>
      <c r="AM13" s="100"/>
      <c r="AN13" s="122"/>
      <c r="AO13" s="122"/>
      <c r="AP13" s="122"/>
      <c r="AQ13" s="146"/>
    </row>
    <row r="14" spans="1:43" ht="19.5" customHeight="1">
      <c r="A14" s="100"/>
      <c r="B14" s="105"/>
      <c r="C14" s="106"/>
      <c r="D14" s="106"/>
      <c r="E14" s="107"/>
      <c r="F14" s="100"/>
      <c r="G14" s="122"/>
      <c r="H14" s="105"/>
      <c r="I14" s="105"/>
      <c r="J14" s="143"/>
      <c r="K14" s="146"/>
      <c r="L14" s="146"/>
      <c r="M14" s="100"/>
      <c r="N14" s="122"/>
      <c r="O14" s="105"/>
      <c r="P14" s="105"/>
      <c r="Q14" s="143"/>
      <c r="R14" s="146"/>
      <c r="S14" s="146"/>
      <c r="T14" s="100"/>
      <c r="U14" s="122"/>
      <c r="V14" s="105"/>
      <c r="W14" s="105"/>
      <c r="X14" s="143"/>
      <c r="Y14" s="146"/>
      <c r="Z14" s="146"/>
      <c r="AA14" s="100"/>
      <c r="AB14" s="122"/>
      <c r="AC14" s="105"/>
      <c r="AD14" s="105"/>
      <c r="AE14" s="226"/>
      <c r="AF14" s="201"/>
      <c r="AG14" s="146"/>
      <c r="AH14" s="100"/>
      <c r="AI14" s="122"/>
      <c r="AJ14" s="122"/>
      <c r="AK14" s="122"/>
      <c r="AL14" s="146"/>
      <c r="AM14" s="100"/>
      <c r="AN14" s="122"/>
      <c r="AO14" s="122"/>
      <c r="AP14" s="122"/>
      <c r="AQ14" s="146"/>
    </row>
    <row r="15" spans="1:43" ht="19.5" customHeight="1" thickBot="1">
      <c r="A15" s="101"/>
      <c r="B15" s="108"/>
      <c r="C15" s="109"/>
      <c r="D15" s="109"/>
      <c r="E15" s="110"/>
      <c r="F15" s="101"/>
      <c r="G15" s="123"/>
      <c r="H15" s="108"/>
      <c r="I15" s="108"/>
      <c r="J15" s="144"/>
      <c r="K15" s="147"/>
      <c r="L15" s="147"/>
      <c r="M15" s="101"/>
      <c r="N15" s="123"/>
      <c r="O15" s="108"/>
      <c r="P15" s="108"/>
      <c r="Q15" s="144"/>
      <c r="R15" s="147"/>
      <c r="S15" s="147"/>
      <c r="T15" s="101"/>
      <c r="U15" s="123"/>
      <c r="V15" s="108"/>
      <c r="W15" s="108"/>
      <c r="X15" s="144"/>
      <c r="Y15" s="147"/>
      <c r="Z15" s="147"/>
      <c r="AA15" s="101"/>
      <c r="AB15" s="123"/>
      <c r="AC15" s="108"/>
      <c r="AD15" s="108"/>
      <c r="AE15" s="227"/>
      <c r="AF15" s="151"/>
      <c r="AG15" s="147"/>
      <c r="AH15" s="101"/>
      <c r="AI15" s="123"/>
      <c r="AJ15" s="123"/>
      <c r="AK15" s="123"/>
      <c r="AL15" s="147"/>
      <c r="AM15" s="101"/>
      <c r="AN15" s="123"/>
      <c r="AO15" s="123"/>
      <c r="AP15" s="123"/>
      <c r="AQ15" s="147"/>
    </row>
    <row r="16" spans="1:43" ht="19.5" customHeight="1">
      <c r="A16" s="82">
        <v>1</v>
      </c>
      <c r="B16" s="210" t="s">
        <v>99</v>
      </c>
      <c r="C16" s="211"/>
      <c r="D16" s="211"/>
      <c r="E16" s="223"/>
      <c r="F16" s="83"/>
      <c r="G16" s="9"/>
      <c r="H16" s="9"/>
      <c r="I16" s="10"/>
      <c r="J16" s="11"/>
      <c r="K16" s="84" t="str">
        <f t="shared" ref="K16:K30" si="0">IF(F16=0,"",ROUND(AVERAGE(F16:J16),0))</f>
        <v/>
      </c>
      <c r="L16" s="21"/>
      <c r="M16" s="8"/>
      <c r="N16" s="9"/>
      <c r="O16" s="9"/>
      <c r="P16" s="10"/>
      <c r="Q16" s="11"/>
      <c r="R16" s="84" t="str">
        <f t="shared" ref="R16:R30" si="1">IF(M16=0,"",ROUND(AVERAGE(M16:Q16),0))</f>
        <v/>
      </c>
      <c r="S16" s="21"/>
      <c r="T16" s="8"/>
      <c r="U16" s="9"/>
      <c r="V16" s="9"/>
      <c r="W16" s="10"/>
      <c r="X16" s="11"/>
      <c r="Y16" s="84" t="str">
        <f t="shared" ref="Y16:Y30" si="2">IF(T16=0,"",ROUND(AVERAGE(T16:X16),0))</f>
        <v/>
      </c>
      <c r="Z16" s="21"/>
      <c r="AA16" s="8"/>
      <c r="AB16" s="9"/>
      <c r="AC16" s="9"/>
      <c r="AD16" s="10"/>
      <c r="AE16" s="11"/>
      <c r="AF16" s="84" t="str">
        <f t="shared" ref="AF16:AF30" si="3">IF(AA16=0,"",ROUND(AVERAGE(AA16:AE16),0))</f>
        <v/>
      </c>
      <c r="AG16" s="85"/>
      <c r="AH16" s="83" t="str">
        <f t="shared" ref="AH16:AH30" si="4">IF(K16=0,"",K16)</f>
        <v/>
      </c>
      <c r="AI16" s="9" t="str">
        <f t="shared" ref="AI16:AI30" si="5">IF(R16=0,"",R16)</f>
        <v/>
      </c>
      <c r="AJ16" s="9" t="str">
        <f t="shared" ref="AJ16:AJ30" si="6">IF(Y16=0,"",Y16)</f>
        <v/>
      </c>
      <c r="AK16" s="9" t="str">
        <f t="shared" ref="AK16:AK30" si="7">IF(AF16=0,"",AF16)</f>
        <v/>
      </c>
      <c r="AL16" s="12" t="str">
        <f t="shared" ref="AL16:AL30" si="8">IF(F16=0,"",ROUND(AVERAGE(AH16:AK16),0))</f>
        <v/>
      </c>
      <c r="AM16" s="8" t="str">
        <f t="shared" ref="AM16:AP16" si="9">IF(AH16=0,"",IF(AH16&lt;=10,"C",IF(AH16&lt;=13,"B",IF(AH16&lt;=17,"A",IF(AH16&lt;=20,"AD","")))))</f>
        <v/>
      </c>
      <c r="AN16" s="9" t="str">
        <f t="shared" si="9"/>
        <v/>
      </c>
      <c r="AO16" s="9" t="str">
        <f t="shared" si="9"/>
        <v/>
      </c>
      <c r="AP16" s="9" t="str">
        <f t="shared" si="9"/>
        <v/>
      </c>
      <c r="AQ16" s="20" t="str">
        <f t="shared" ref="AQ16:AQ30" si="10">IF(AL16=0,"",IF(AL16&lt;0,"Error",IF(AL16&lt;=10,"C",IF(AL16&lt;=13,"B",IF(AL16&lt;=17,"A",IF(AL16&lt;=20,"AD",""))))))</f>
        <v/>
      </c>
    </row>
    <row r="17" spans="1:43" ht="19.5" customHeight="1">
      <c r="A17" s="86">
        <v>2</v>
      </c>
      <c r="B17" s="204" t="s">
        <v>100</v>
      </c>
      <c r="C17" s="205" t="s">
        <v>100</v>
      </c>
      <c r="D17" s="205" t="s">
        <v>100</v>
      </c>
      <c r="E17" s="219" t="s">
        <v>100</v>
      </c>
      <c r="F17" s="87"/>
      <c r="G17" s="24"/>
      <c r="H17" s="24"/>
      <c r="I17" s="25"/>
      <c r="J17" s="26"/>
      <c r="K17" s="31" t="str">
        <f t="shared" si="0"/>
        <v/>
      </c>
      <c r="L17" s="13"/>
      <c r="M17" s="23"/>
      <c r="N17" s="24"/>
      <c r="O17" s="24"/>
      <c r="P17" s="25"/>
      <c r="Q17" s="26"/>
      <c r="R17" s="31" t="str">
        <f t="shared" si="1"/>
        <v/>
      </c>
      <c r="S17" s="13"/>
      <c r="T17" s="23"/>
      <c r="U17" s="24"/>
      <c r="V17" s="24"/>
      <c r="W17" s="25"/>
      <c r="X17" s="26"/>
      <c r="Y17" s="31" t="str">
        <f t="shared" si="2"/>
        <v/>
      </c>
      <c r="Z17" s="13"/>
      <c r="AA17" s="23"/>
      <c r="AB17" s="24"/>
      <c r="AC17" s="24"/>
      <c r="AD17" s="25"/>
      <c r="AE17" s="26"/>
      <c r="AF17" s="31" t="str">
        <f t="shared" si="3"/>
        <v/>
      </c>
      <c r="AG17" s="13"/>
      <c r="AH17" s="87" t="str">
        <f t="shared" si="4"/>
        <v/>
      </c>
      <c r="AI17" s="24" t="str">
        <f t="shared" si="5"/>
        <v/>
      </c>
      <c r="AJ17" s="24" t="str">
        <f t="shared" si="6"/>
        <v/>
      </c>
      <c r="AK17" s="24" t="str">
        <f t="shared" si="7"/>
        <v/>
      </c>
      <c r="AL17" s="31" t="str">
        <f t="shared" si="8"/>
        <v/>
      </c>
      <c r="AM17" s="8" t="str">
        <f t="shared" ref="AM17:AP17" si="11">IF(AH17=0,"",IF(AH17&lt;=10,"C",IF(AH17&lt;=13,"B",IF(AH17&lt;=17,"A",IF(AH17&lt;=20,"AD","")))))</f>
        <v/>
      </c>
      <c r="AN17" s="9" t="str">
        <f t="shared" si="11"/>
        <v/>
      </c>
      <c r="AO17" s="9" t="str">
        <f t="shared" si="11"/>
        <v/>
      </c>
      <c r="AP17" s="9" t="str">
        <f t="shared" si="11"/>
        <v/>
      </c>
      <c r="AQ17" s="20" t="str">
        <f t="shared" si="10"/>
        <v/>
      </c>
    </row>
    <row r="18" spans="1:43" ht="19.5" customHeight="1">
      <c r="A18" s="86">
        <v>3</v>
      </c>
      <c r="B18" s="204" t="s">
        <v>101</v>
      </c>
      <c r="C18" s="205" t="s">
        <v>101</v>
      </c>
      <c r="D18" s="205" t="s">
        <v>101</v>
      </c>
      <c r="E18" s="219" t="s">
        <v>101</v>
      </c>
      <c r="F18" s="87"/>
      <c r="G18" s="24"/>
      <c r="H18" s="24"/>
      <c r="I18" s="25"/>
      <c r="J18" s="26"/>
      <c r="K18" s="31" t="str">
        <f t="shared" si="0"/>
        <v/>
      </c>
      <c r="L18" s="13"/>
      <c r="M18" s="23"/>
      <c r="N18" s="24"/>
      <c r="O18" s="24"/>
      <c r="P18" s="25"/>
      <c r="Q18" s="26"/>
      <c r="R18" s="31" t="str">
        <f t="shared" si="1"/>
        <v/>
      </c>
      <c r="S18" s="13"/>
      <c r="T18" s="23"/>
      <c r="U18" s="24"/>
      <c r="V18" s="24"/>
      <c r="W18" s="25"/>
      <c r="X18" s="26"/>
      <c r="Y18" s="31" t="str">
        <f t="shared" si="2"/>
        <v/>
      </c>
      <c r="Z18" s="13"/>
      <c r="AA18" s="23"/>
      <c r="AB18" s="24"/>
      <c r="AC18" s="24"/>
      <c r="AD18" s="25"/>
      <c r="AE18" s="26"/>
      <c r="AF18" s="31" t="str">
        <f t="shared" si="3"/>
        <v/>
      </c>
      <c r="AG18" s="13"/>
      <c r="AH18" s="87" t="str">
        <f t="shared" si="4"/>
        <v/>
      </c>
      <c r="AI18" s="24" t="str">
        <f t="shared" si="5"/>
        <v/>
      </c>
      <c r="AJ18" s="24" t="str">
        <f t="shared" si="6"/>
        <v/>
      </c>
      <c r="AK18" s="24" t="str">
        <f t="shared" si="7"/>
        <v/>
      </c>
      <c r="AL18" s="31" t="str">
        <f t="shared" si="8"/>
        <v/>
      </c>
      <c r="AM18" s="8" t="str">
        <f t="shared" ref="AM18:AP18" si="12">IF(AH18=0,"",IF(AH18&lt;=10,"C",IF(AH18&lt;=13,"B",IF(AH18&lt;=17,"A",IF(AH18&lt;=20,"AD","")))))</f>
        <v/>
      </c>
      <c r="AN18" s="9" t="str">
        <f t="shared" si="12"/>
        <v/>
      </c>
      <c r="AO18" s="9" t="str">
        <f t="shared" si="12"/>
        <v/>
      </c>
      <c r="AP18" s="9" t="str">
        <f t="shared" si="12"/>
        <v/>
      </c>
      <c r="AQ18" s="20" t="str">
        <f t="shared" si="10"/>
        <v/>
      </c>
    </row>
    <row r="19" spans="1:43" ht="19.5" customHeight="1">
      <c r="A19" s="86">
        <v>4</v>
      </c>
      <c r="B19" s="204" t="s">
        <v>102</v>
      </c>
      <c r="C19" s="205" t="s">
        <v>102</v>
      </c>
      <c r="D19" s="205" t="s">
        <v>102</v>
      </c>
      <c r="E19" s="219" t="s">
        <v>102</v>
      </c>
      <c r="F19" s="87"/>
      <c r="G19" s="24"/>
      <c r="H19" s="24"/>
      <c r="I19" s="25"/>
      <c r="J19" s="26"/>
      <c r="K19" s="31" t="str">
        <f t="shared" si="0"/>
        <v/>
      </c>
      <c r="L19" s="13"/>
      <c r="M19" s="23"/>
      <c r="N19" s="24"/>
      <c r="O19" s="24"/>
      <c r="P19" s="25"/>
      <c r="Q19" s="26"/>
      <c r="R19" s="31" t="str">
        <f t="shared" si="1"/>
        <v/>
      </c>
      <c r="S19" s="13"/>
      <c r="T19" s="23"/>
      <c r="U19" s="24"/>
      <c r="V19" s="24"/>
      <c r="W19" s="25"/>
      <c r="X19" s="26"/>
      <c r="Y19" s="31" t="str">
        <f t="shared" si="2"/>
        <v/>
      </c>
      <c r="Z19" s="13"/>
      <c r="AA19" s="23"/>
      <c r="AB19" s="24"/>
      <c r="AC19" s="24"/>
      <c r="AD19" s="25"/>
      <c r="AE19" s="26"/>
      <c r="AF19" s="31" t="str">
        <f t="shared" si="3"/>
        <v/>
      </c>
      <c r="AG19" s="13"/>
      <c r="AH19" s="87" t="str">
        <f t="shared" si="4"/>
        <v/>
      </c>
      <c r="AI19" s="24" t="str">
        <f t="shared" si="5"/>
        <v/>
      </c>
      <c r="AJ19" s="24" t="str">
        <f t="shared" si="6"/>
        <v/>
      </c>
      <c r="AK19" s="24" t="str">
        <f t="shared" si="7"/>
        <v/>
      </c>
      <c r="AL19" s="31" t="str">
        <f t="shared" si="8"/>
        <v/>
      </c>
      <c r="AM19" s="8" t="str">
        <f t="shared" ref="AM19:AP19" si="13">IF(AH19=0,"",IF(AH19&lt;=10,"C",IF(AH19&lt;=13,"B",IF(AH19&lt;=17,"A",IF(AH19&lt;=20,"AD","")))))</f>
        <v/>
      </c>
      <c r="AN19" s="9" t="str">
        <f t="shared" si="13"/>
        <v/>
      </c>
      <c r="AO19" s="9" t="str">
        <f t="shared" si="13"/>
        <v/>
      </c>
      <c r="AP19" s="9" t="str">
        <f t="shared" si="13"/>
        <v/>
      </c>
      <c r="AQ19" s="20" t="str">
        <f t="shared" si="10"/>
        <v/>
      </c>
    </row>
    <row r="20" spans="1:43" ht="19.5" customHeight="1">
      <c r="A20" s="86">
        <v>5</v>
      </c>
      <c r="B20" s="204" t="s">
        <v>103</v>
      </c>
      <c r="C20" s="205" t="s">
        <v>103</v>
      </c>
      <c r="D20" s="205" t="s">
        <v>103</v>
      </c>
      <c r="E20" s="219" t="s">
        <v>103</v>
      </c>
      <c r="F20" s="87"/>
      <c r="G20" s="24"/>
      <c r="H20" s="24"/>
      <c r="I20" s="25"/>
      <c r="J20" s="26"/>
      <c r="K20" s="31" t="str">
        <f t="shared" si="0"/>
        <v/>
      </c>
      <c r="L20" s="13"/>
      <c r="M20" s="23"/>
      <c r="N20" s="24"/>
      <c r="O20" s="24"/>
      <c r="P20" s="25"/>
      <c r="Q20" s="26"/>
      <c r="R20" s="31" t="str">
        <f t="shared" si="1"/>
        <v/>
      </c>
      <c r="S20" s="13"/>
      <c r="T20" s="23"/>
      <c r="U20" s="24"/>
      <c r="V20" s="24"/>
      <c r="W20" s="25"/>
      <c r="X20" s="26"/>
      <c r="Y20" s="31" t="str">
        <f t="shared" si="2"/>
        <v/>
      </c>
      <c r="Z20" s="13"/>
      <c r="AA20" s="23"/>
      <c r="AB20" s="24"/>
      <c r="AC20" s="24"/>
      <c r="AD20" s="25"/>
      <c r="AE20" s="26"/>
      <c r="AF20" s="31" t="str">
        <f t="shared" si="3"/>
        <v/>
      </c>
      <c r="AG20" s="13"/>
      <c r="AH20" s="87" t="str">
        <f t="shared" si="4"/>
        <v/>
      </c>
      <c r="AI20" s="24" t="str">
        <f t="shared" si="5"/>
        <v/>
      </c>
      <c r="AJ20" s="24" t="str">
        <f t="shared" si="6"/>
        <v/>
      </c>
      <c r="AK20" s="24" t="str">
        <f t="shared" si="7"/>
        <v/>
      </c>
      <c r="AL20" s="31" t="str">
        <f t="shared" si="8"/>
        <v/>
      </c>
      <c r="AM20" s="8" t="str">
        <f t="shared" ref="AM20:AP20" si="14">IF(AH20=0,"",IF(AH20&lt;=10,"C",IF(AH20&lt;=13,"B",IF(AH20&lt;=17,"A",IF(AH20&lt;=20,"AD","")))))</f>
        <v/>
      </c>
      <c r="AN20" s="9" t="str">
        <f t="shared" si="14"/>
        <v/>
      </c>
      <c r="AO20" s="9" t="str">
        <f t="shared" si="14"/>
        <v/>
      </c>
      <c r="AP20" s="9" t="str">
        <f t="shared" si="14"/>
        <v/>
      </c>
      <c r="AQ20" s="20" t="str">
        <f t="shared" si="10"/>
        <v/>
      </c>
    </row>
    <row r="21" spans="1:43" ht="19.5" customHeight="1">
      <c r="A21" s="86">
        <v>6</v>
      </c>
      <c r="B21" s="204" t="s">
        <v>104</v>
      </c>
      <c r="C21" s="205" t="s">
        <v>104</v>
      </c>
      <c r="D21" s="205" t="s">
        <v>104</v>
      </c>
      <c r="E21" s="219" t="s">
        <v>104</v>
      </c>
      <c r="F21" s="87"/>
      <c r="G21" s="24"/>
      <c r="H21" s="24"/>
      <c r="I21" s="25"/>
      <c r="J21" s="26"/>
      <c r="K21" s="31" t="str">
        <f t="shared" si="0"/>
        <v/>
      </c>
      <c r="L21" s="13"/>
      <c r="M21" s="23"/>
      <c r="N21" s="24"/>
      <c r="O21" s="24"/>
      <c r="P21" s="25"/>
      <c r="Q21" s="26"/>
      <c r="R21" s="31" t="str">
        <f t="shared" si="1"/>
        <v/>
      </c>
      <c r="S21" s="13"/>
      <c r="T21" s="23"/>
      <c r="U21" s="24"/>
      <c r="V21" s="24"/>
      <c r="W21" s="25"/>
      <c r="X21" s="26"/>
      <c r="Y21" s="31" t="str">
        <f t="shared" si="2"/>
        <v/>
      </c>
      <c r="Z21" s="13"/>
      <c r="AA21" s="23"/>
      <c r="AB21" s="24"/>
      <c r="AC21" s="24"/>
      <c r="AD21" s="25"/>
      <c r="AE21" s="26"/>
      <c r="AF21" s="31" t="str">
        <f t="shared" si="3"/>
        <v/>
      </c>
      <c r="AG21" s="13"/>
      <c r="AH21" s="87" t="str">
        <f t="shared" si="4"/>
        <v/>
      </c>
      <c r="AI21" s="24" t="str">
        <f t="shared" si="5"/>
        <v/>
      </c>
      <c r="AJ21" s="24" t="str">
        <f t="shared" si="6"/>
        <v/>
      </c>
      <c r="AK21" s="24" t="str">
        <f t="shared" si="7"/>
        <v/>
      </c>
      <c r="AL21" s="31" t="str">
        <f t="shared" si="8"/>
        <v/>
      </c>
      <c r="AM21" s="8" t="str">
        <f t="shared" ref="AM21:AP21" si="15">IF(AH21=0,"",IF(AH21&lt;=10,"C",IF(AH21&lt;=13,"B",IF(AH21&lt;=17,"A",IF(AH21&lt;=20,"AD","")))))</f>
        <v/>
      </c>
      <c r="AN21" s="9" t="str">
        <f t="shared" si="15"/>
        <v/>
      </c>
      <c r="AO21" s="9" t="str">
        <f t="shared" si="15"/>
        <v/>
      </c>
      <c r="AP21" s="9" t="str">
        <f t="shared" si="15"/>
        <v/>
      </c>
      <c r="AQ21" s="20" t="str">
        <f t="shared" si="10"/>
        <v/>
      </c>
    </row>
    <row r="22" spans="1:43" ht="19.5" customHeight="1">
      <c r="A22" s="86">
        <v>7</v>
      </c>
      <c r="B22" s="204" t="s">
        <v>110</v>
      </c>
      <c r="C22" s="205"/>
      <c r="D22" s="205"/>
      <c r="E22" s="219"/>
      <c r="F22" s="87"/>
      <c r="G22" s="24"/>
      <c r="H22" s="24"/>
      <c r="I22" s="25"/>
      <c r="J22" s="26"/>
      <c r="K22" s="31" t="str">
        <f t="shared" si="0"/>
        <v/>
      </c>
      <c r="L22" s="13"/>
      <c r="M22" s="23"/>
      <c r="N22" s="24"/>
      <c r="O22" s="24"/>
      <c r="P22" s="25"/>
      <c r="Q22" s="26"/>
      <c r="R22" s="31" t="str">
        <f t="shared" si="1"/>
        <v/>
      </c>
      <c r="S22" s="13"/>
      <c r="T22" s="23"/>
      <c r="U22" s="24"/>
      <c r="V22" s="24"/>
      <c r="W22" s="25"/>
      <c r="X22" s="26"/>
      <c r="Y22" s="31" t="str">
        <f t="shared" si="2"/>
        <v/>
      </c>
      <c r="Z22" s="13"/>
      <c r="AA22" s="23"/>
      <c r="AB22" s="24"/>
      <c r="AC22" s="24"/>
      <c r="AD22" s="25"/>
      <c r="AE22" s="26"/>
      <c r="AF22" s="31" t="str">
        <f t="shared" si="3"/>
        <v/>
      </c>
      <c r="AG22" s="14"/>
      <c r="AH22" s="87" t="str">
        <f t="shared" si="4"/>
        <v/>
      </c>
      <c r="AI22" s="24" t="str">
        <f t="shared" si="5"/>
        <v/>
      </c>
      <c r="AJ22" s="24" t="str">
        <f t="shared" si="6"/>
        <v/>
      </c>
      <c r="AK22" s="24" t="str">
        <f t="shared" si="7"/>
        <v/>
      </c>
      <c r="AL22" s="31" t="str">
        <f t="shared" si="8"/>
        <v/>
      </c>
      <c r="AM22" s="8" t="str">
        <f t="shared" ref="AM22:AP22" si="16">IF(AH22=0,"",IF(AH22&lt;=10,"C",IF(AH22&lt;=13,"B",IF(AH22&lt;=17,"A",IF(AH22&lt;=20,"AD","")))))</f>
        <v/>
      </c>
      <c r="AN22" s="9" t="str">
        <f t="shared" si="16"/>
        <v/>
      </c>
      <c r="AO22" s="9" t="str">
        <f t="shared" si="16"/>
        <v/>
      </c>
      <c r="AP22" s="9" t="str">
        <f t="shared" si="16"/>
        <v/>
      </c>
      <c r="AQ22" s="20" t="str">
        <f t="shared" si="10"/>
        <v/>
      </c>
    </row>
    <row r="23" spans="1:43" ht="19.5" customHeight="1">
      <c r="A23" s="86">
        <v>8</v>
      </c>
      <c r="B23" s="215"/>
      <c r="C23" s="216"/>
      <c r="D23" s="216"/>
      <c r="E23" s="220"/>
      <c r="F23" s="87"/>
      <c r="G23" s="24"/>
      <c r="H23" s="24"/>
      <c r="I23" s="25"/>
      <c r="J23" s="26"/>
      <c r="K23" s="31" t="str">
        <f t="shared" si="0"/>
        <v/>
      </c>
      <c r="L23" s="13"/>
      <c r="M23" s="23"/>
      <c r="N23" s="24"/>
      <c r="O23" s="24"/>
      <c r="P23" s="25"/>
      <c r="Q23" s="26"/>
      <c r="R23" s="31" t="str">
        <f t="shared" si="1"/>
        <v/>
      </c>
      <c r="S23" s="13"/>
      <c r="T23" s="23"/>
      <c r="U23" s="24"/>
      <c r="V23" s="24"/>
      <c r="W23" s="25"/>
      <c r="X23" s="26"/>
      <c r="Y23" s="31" t="str">
        <f t="shared" si="2"/>
        <v/>
      </c>
      <c r="Z23" s="13"/>
      <c r="AA23" s="23"/>
      <c r="AB23" s="24"/>
      <c r="AC23" s="24"/>
      <c r="AD23" s="25"/>
      <c r="AE23" s="26"/>
      <c r="AF23" s="31" t="str">
        <f t="shared" si="3"/>
        <v/>
      </c>
      <c r="AG23" s="13"/>
      <c r="AH23" s="87" t="str">
        <f t="shared" si="4"/>
        <v/>
      </c>
      <c r="AI23" s="24" t="str">
        <f t="shared" si="5"/>
        <v/>
      </c>
      <c r="AJ23" s="24" t="str">
        <f t="shared" si="6"/>
        <v/>
      </c>
      <c r="AK23" s="24" t="str">
        <f t="shared" si="7"/>
        <v/>
      </c>
      <c r="AL23" s="31" t="str">
        <f t="shared" si="8"/>
        <v/>
      </c>
      <c r="AM23" s="8" t="str">
        <f t="shared" ref="AM23:AP23" si="17">IF(AH23=0,"",IF(AH23&lt;=10,"C",IF(AH23&lt;=13,"B",IF(AH23&lt;=17,"A",IF(AH23&lt;=20,"AD","")))))</f>
        <v/>
      </c>
      <c r="AN23" s="9" t="str">
        <f t="shared" si="17"/>
        <v/>
      </c>
      <c r="AO23" s="9" t="str">
        <f t="shared" si="17"/>
        <v/>
      </c>
      <c r="AP23" s="9" t="str">
        <f t="shared" si="17"/>
        <v/>
      </c>
      <c r="AQ23" s="20" t="str">
        <f t="shared" si="10"/>
        <v/>
      </c>
    </row>
    <row r="24" spans="1:43" ht="19.5" customHeight="1">
      <c r="A24" s="86">
        <v>9</v>
      </c>
      <c r="B24" s="213"/>
      <c r="C24" s="133"/>
      <c r="D24" s="133"/>
      <c r="E24" s="160"/>
      <c r="F24" s="87"/>
      <c r="G24" s="24"/>
      <c r="H24" s="24"/>
      <c r="I24" s="25"/>
      <c r="J24" s="26"/>
      <c r="K24" s="31" t="str">
        <f t="shared" si="0"/>
        <v/>
      </c>
      <c r="L24" s="13"/>
      <c r="M24" s="23"/>
      <c r="N24" s="24"/>
      <c r="O24" s="24"/>
      <c r="P24" s="25"/>
      <c r="Q24" s="26"/>
      <c r="R24" s="31" t="str">
        <f t="shared" si="1"/>
        <v/>
      </c>
      <c r="S24" s="13"/>
      <c r="T24" s="23"/>
      <c r="U24" s="24"/>
      <c r="V24" s="24"/>
      <c r="W24" s="25"/>
      <c r="X24" s="26"/>
      <c r="Y24" s="31" t="str">
        <f t="shared" si="2"/>
        <v/>
      </c>
      <c r="Z24" s="13"/>
      <c r="AA24" s="23"/>
      <c r="AB24" s="24"/>
      <c r="AC24" s="24"/>
      <c r="AD24" s="25"/>
      <c r="AE24" s="26"/>
      <c r="AF24" s="31" t="str">
        <f t="shared" si="3"/>
        <v/>
      </c>
      <c r="AG24" s="13"/>
      <c r="AH24" s="87" t="str">
        <f t="shared" si="4"/>
        <v/>
      </c>
      <c r="AI24" s="24" t="str">
        <f t="shared" si="5"/>
        <v/>
      </c>
      <c r="AJ24" s="24" t="str">
        <f t="shared" si="6"/>
        <v/>
      </c>
      <c r="AK24" s="24" t="str">
        <f t="shared" si="7"/>
        <v/>
      </c>
      <c r="AL24" s="31" t="str">
        <f t="shared" si="8"/>
        <v/>
      </c>
      <c r="AM24" s="8" t="str">
        <f t="shared" ref="AM24:AP24" si="18">IF(AH24=0,"",IF(AH24&lt;=10,"C",IF(AH24&lt;=13,"B",IF(AH24&lt;=17,"A",IF(AH24&lt;=20,"AD","")))))</f>
        <v/>
      </c>
      <c r="AN24" s="9" t="str">
        <f t="shared" si="18"/>
        <v/>
      </c>
      <c r="AO24" s="9" t="str">
        <f t="shared" si="18"/>
        <v/>
      </c>
      <c r="AP24" s="9" t="str">
        <f t="shared" si="18"/>
        <v/>
      </c>
      <c r="AQ24" s="20" t="str">
        <f t="shared" si="10"/>
        <v/>
      </c>
    </row>
    <row r="25" spans="1:43" ht="19.5" customHeight="1">
      <c r="A25" s="86">
        <v>10</v>
      </c>
      <c r="B25" s="213"/>
      <c r="C25" s="133"/>
      <c r="D25" s="133"/>
      <c r="E25" s="160"/>
      <c r="F25" s="87"/>
      <c r="G25" s="24"/>
      <c r="H25" s="24"/>
      <c r="I25" s="25"/>
      <c r="J25" s="26"/>
      <c r="K25" s="31" t="str">
        <f t="shared" si="0"/>
        <v/>
      </c>
      <c r="L25" s="13"/>
      <c r="M25" s="23"/>
      <c r="N25" s="24"/>
      <c r="O25" s="24"/>
      <c r="P25" s="25"/>
      <c r="Q25" s="26"/>
      <c r="R25" s="31" t="str">
        <f t="shared" si="1"/>
        <v/>
      </c>
      <c r="S25" s="13"/>
      <c r="T25" s="23"/>
      <c r="U25" s="24"/>
      <c r="V25" s="24"/>
      <c r="W25" s="25"/>
      <c r="X25" s="26"/>
      <c r="Y25" s="31" t="str">
        <f t="shared" si="2"/>
        <v/>
      </c>
      <c r="Z25" s="13"/>
      <c r="AA25" s="23"/>
      <c r="AB25" s="24"/>
      <c r="AC25" s="24"/>
      <c r="AD25" s="25"/>
      <c r="AE25" s="26"/>
      <c r="AF25" s="31" t="str">
        <f t="shared" si="3"/>
        <v/>
      </c>
      <c r="AG25" s="13"/>
      <c r="AH25" s="87" t="str">
        <f t="shared" si="4"/>
        <v/>
      </c>
      <c r="AI25" s="24" t="str">
        <f t="shared" si="5"/>
        <v/>
      </c>
      <c r="AJ25" s="24" t="str">
        <f t="shared" si="6"/>
        <v/>
      </c>
      <c r="AK25" s="24" t="str">
        <f t="shared" si="7"/>
        <v/>
      </c>
      <c r="AL25" s="31" t="str">
        <f t="shared" si="8"/>
        <v/>
      </c>
      <c r="AM25" s="8" t="str">
        <f t="shared" ref="AM25:AP25" si="19">IF(AH25=0,"",IF(AH25&lt;=10,"C",IF(AH25&lt;=13,"B",IF(AH25&lt;=17,"A",IF(AH25&lt;=20,"AD","")))))</f>
        <v/>
      </c>
      <c r="AN25" s="9" t="str">
        <f t="shared" si="19"/>
        <v/>
      </c>
      <c r="AO25" s="9" t="str">
        <f t="shared" si="19"/>
        <v/>
      </c>
      <c r="AP25" s="9" t="str">
        <f t="shared" si="19"/>
        <v/>
      </c>
      <c r="AQ25" s="20" t="str">
        <f t="shared" si="10"/>
        <v/>
      </c>
    </row>
    <row r="26" spans="1:43" ht="19.5" customHeight="1">
      <c r="A26" s="86">
        <v>11</v>
      </c>
      <c r="B26" s="213"/>
      <c r="C26" s="133"/>
      <c r="D26" s="133"/>
      <c r="E26" s="160"/>
      <c r="F26" s="87"/>
      <c r="G26" s="24"/>
      <c r="H26" s="24"/>
      <c r="I26" s="25"/>
      <c r="J26" s="26"/>
      <c r="K26" s="31" t="str">
        <f t="shared" si="0"/>
        <v/>
      </c>
      <c r="L26" s="13"/>
      <c r="M26" s="23"/>
      <c r="N26" s="24"/>
      <c r="O26" s="24"/>
      <c r="P26" s="25"/>
      <c r="Q26" s="26"/>
      <c r="R26" s="31" t="str">
        <f t="shared" si="1"/>
        <v/>
      </c>
      <c r="S26" s="13"/>
      <c r="T26" s="23"/>
      <c r="U26" s="24"/>
      <c r="V26" s="24"/>
      <c r="W26" s="25"/>
      <c r="X26" s="26"/>
      <c r="Y26" s="31" t="str">
        <f t="shared" si="2"/>
        <v/>
      </c>
      <c r="Z26" s="13"/>
      <c r="AA26" s="23"/>
      <c r="AB26" s="24"/>
      <c r="AC26" s="24"/>
      <c r="AD26" s="25"/>
      <c r="AE26" s="26"/>
      <c r="AF26" s="31" t="str">
        <f t="shared" si="3"/>
        <v/>
      </c>
      <c r="AG26" s="13"/>
      <c r="AH26" s="87" t="str">
        <f t="shared" si="4"/>
        <v/>
      </c>
      <c r="AI26" s="24" t="str">
        <f t="shared" si="5"/>
        <v/>
      </c>
      <c r="AJ26" s="24" t="str">
        <f t="shared" si="6"/>
        <v/>
      </c>
      <c r="AK26" s="24" t="str">
        <f t="shared" si="7"/>
        <v/>
      </c>
      <c r="AL26" s="31" t="str">
        <f t="shared" si="8"/>
        <v/>
      </c>
      <c r="AM26" s="8" t="str">
        <f t="shared" ref="AM26:AP26" si="20">IF(AH26=0,"",IF(AH26&lt;=10,"C",IF(AH26&lt;=13,"B",IF(AH26&lt;=17,"A",IF(AH26&lt;=20,"AD","")))))</f>
        <v/>
      </c>
      <c r="AN26" s="9" t="str">
        <f t="shared" si="20"/>
        <v/>
      </c>
      <c r="AO26" s="9" t="str">
        <f t="shared" si="20"/>
        <v/>
      </c>
      <c r="AP26" s="9" t="str">
        <f t="shared" si="20"/>
        <v/>
      </c>
      <c r="AQ26" s="20" t="str">
        <f t="shared" si="10"/>
        <v/>
      </c>
    </row>
    <row r="27" spans="1:43" ht="19.5" customHeight="1">
      <c r="A27" s="86">
        <v>12</v>
      </c>
      <c r="B27" s="213"/>
      <c r="C27" s="133"/>
      <c r="D27" s="133"/>
      <c r="E27" s="160"/>
      <c r="F27" s="87"/>
      <c r="G27" s="24"/>
      <c r="H27" s="24"/>
      <c r="I27" s="25"/>
      <c r="J27" s="26"/>
      <c r="K27" s="31" t="str">
        <f t="shared" si="0"/>
        <v/>
      </c>
      <c r="L27" s="13"/>
      <c r="M27" s="23"/>
      <c r="N27" s="24"/>
      <c r="O27" s="24"/>
      <c r="P27" s="25"/>
      <c r="Q27" s="26"/>
      <c r="R27" s="31" t="str">
        <f t="shared" si="1"/>
        <v/>
      </c>
      <c r="S27" s="13"/>
      <c r="T27" s="23"/>
      <c r="U27" s="24"/>
      <c r="V27" s="24"/>
      <c r="W27" s="25"/>
      <c r="X27" s="26"/>
      <c r="Y27" s="31" t="str">
        <f t="shared" si="2"/>
        <v/>
      </c>
      <c r="Z27" s="13"/>
      <c r="AA27" s="23"/>
      <c r="AB27" s="24"/>
      <c r="AC27" s="24"/>
      <c r="AD27" s="25"/>
      <c r="AE27" s="26"/>
      <c r="AF27" s="31" t="str">
        <f t="shared" si="3"/>
        <v/>
      </c>
      <c r="AG27" s="13"/>
      <c r="AH27" s="87" t="str">
        <f t="shared" si="4"/>
        <v/>
      </c>
      <c r="AI27" s="24" t="str">
        <f t="shared" si="5"/>
        <v/>
      </c>
      <c r="AJ27" s="24" t="str">
        <f t="shared" si="6"/>
        <v/>
      </c>
      <c r="AK27" s="24" t="str">
        <f t="shared" si="7"/>
        <v/>
      </c>
      <c r="AL27" s="31" t="str">
        <f t="shared" si="8"/>
        <v/>
      </c>
      <c r="AM27" s="8" t="str">
        <f t="shared" ref="AM27:AP27" si="21">IF(AH27=0,"",IF(AH27&lt;=10,"C",IF(AH27&lt;=13,"B",IF(AH27&lt;=17,"A",IF(AH27&lt;=20,"AD","")))))</f>
        <v/>
      </c>
      <c r="AN27" s="9" t="str">
        <f t="shared" si="21"/>
        <v/>
      </c>
      <c r="AO27" s="9" t="str">
        <f t="shared" si="21"/>
        <v/>
      </c>
      <c r="AP27" s="9" t="str">
        <f t="shared" si="21"/>
        <v/>
      </c>
      <c r="AQ27" s="20" t="str">
        <f t="shared" si="10"/>
        <v/>
      </c>
    </row>
    <row r="28" spans="1:43" ht="19.5" customHeight="1">
      <c r="A28" s="86">
        <v>13</v>
      </c>
      <c r="B28" s="213"/>
      <c r="C28" s="133"/>
      <c r="D28" s="133"/>
      <c r="E28" s="160"/>
      <c r="F28" s="87"/>
      <c r="G28" s="24"/>
      <c r="H28" s="24"/>
      <c r="I28" s="25"/>
      <c r="J28" s="26"/>
      <c r="K28" s="31" t="str">
        <f t="shared" si="0"/>
        <v/>
      </c>
      <c r="L28" s="13"/>
      <c r="M28" s="23"/>
      <c r="N28" s="24"/>
      <c r="O28" s="24"/>
      <c r="P28" s="25"/>
      <c r="Q28" s="26"/>
      <c r="R28" s="31" t="str">
        <f t="shared" si="1"/>
        <v/>
      </c>
      <c r="S28" s="13"/>
      <c r="T28" s="23"/>
      <c r="U28" s="24"/>
      <c r="V28" s="24"/>
      <c r="W28" s="25"/>
      <c r="X28" s="26"/>
      <c r="Y28" s="31" t="str">
        <f t="shared" si="2"/>
        <v/>
      </c>
      <c r="Z28" s="13"/>
      <c r="AA28" s="23"/>
      <c r="AB28" s="24"/>
      <c r="AC28" s="24"/>
      <c r="AD28" s="25"/>
      <c r="AE28" s="26"/>
      <c r="AF28" s="31" t="str">
        <f t="shared" si="3"/>
        <v/>
      </c>
      <c r="AG28" s="13"/>
      <c r="AH28" s="87" t="str">
        <f t="shared" si="4"/>
        <v/>
      </c>
      <c r="AI28" s="24" t="str">
        <f t="shared" si="5"/>
        <v/>
      </c>
      <c r="AJ28" s="24" t="str">
        <f t="shared" si="6"/>
        <v/>
      </c>
      <c r="AK28" s="24" t="str">
        <f t="shared" si="7"/>
        <v/>
      </c>
      <c r="AL28" s="31" t="str">
        <f t="shared" si="8"/>
        <v/>
      </c>
      <c r="AM28" s="8" t="str">
        <f t="shared" ref="AM28:AP28" si="22">IF(AH28=0,"",IF(AH28&lt;=10,"C",IF(AH28&lt;=13,"B",IF(AH28&lt;=17,"A",IF(AH28&lt;=20,"AD","")))))</f>
        <v/>
      </c>
      <c r="AN28" s="9" t="str">
        <f t="shared" si="22"/>
        <v/>
      </c>
      <c r="AO28" s="9" t="str">
        <f t="shared" si="22"/>
        <v/>
      </c>
      <c r="AP28" s="9" t="str">
        <f t="shared" si="22"/>
        <v/>
      </c>
      <c r="AQ28" s="20" t="str">
        <f t="shared" si="10"/>
        <v/>
      </c>
    </row>
    <row r="29" spans="1:43" ht="19.5" customHeight="1">
      <c r="A29" s="86">
        <v>14</v>
      </c>
      <c r="B29" s="221"/>
      <c r="C29" s="133"/>
      <c r="D29" s="133"/>
      <c r="E29" s="160"/>
      <c r="F29" s="87"/>
      <c r="G29" s="24"/>
      <c r="H29" s="24"/>
      <c r="I29" s="25"/>
      <c r="J29" s="26"/>
      <c r="K29" s="31" t="str">
        <f t="shared" si="0"/>
        <v/>
      </c>
      <c r="L29" s="13"/>
      <c r="M29" s="23"/>
      <c r="N29" s="24"/>
      <c r="O29" s="24"/>
      <c r="P29" s="25"/>
      <c r="Q29" s="26"/>
      <c r="R29" s="31" t="str">
        <f t="shared" si="1"/>
        <v/>
      </c>
      <c r="S29" s="13"/>
      <c r="T29" s="23"/>
      <c r="U29" s="24"/>
      <c r="V29" s="24"/>
      <c r="W29" s="25"/>
      <c r="X29" s="26"/>
      <c r="Y29" s="31" t="str">
        <f t="shared" si="2"/>
        <v/>
      </c>
      <c r="Z29" s="13"/>
      <c r="AA29" s="23"/>
      <c r="AB29" s="24"/>
      <c r="AC29" s="24"/>
      <c r="AD29" s="25"/>
      <c r="AE29" s="26"/>
      <c r="AF29" s="31" t="str">
        <f t="shared" si="3"/>
        <v/>
      </c>
      <c r="AG29" s="13"/>
      <c r="AH29" s="87" t="str">
        <f t="shared" si="4"/>
        <v/>
      </c>
      <c r="AI29" s="24" t="str">
        <f t="shared" si="5"/>
        <v/>
      </c>
      <c r="AJ29" s="24" t="str">
        <f t="shared" si="6"/>
        <v/>
      </c>
      <c r="AK29" s="24" t="str">
        <f t="shared" si="7"/>
        <v/>
      </c>
      <c r="AL29" s="31" t="str">
        <f t="shared" si="8"/>
        <v/>
      </c>
      <c r="AM29" s="8" t="str">
        <f t="shared" ref="AM29:AP29" si="23">IF(AH29=0,"",IF(AH29&lt;=10,"C",IF(AH29&lt;=13,"B",IF(AH29&lt;=17,"A",IF(AH29&lt;=20,"AD","")))))</f>
        <v/>
      </c>
      <c r="AN29" s="9" t="str">
        <f t="shared" si="23"/>
        <v/>
      </c>
      <c r="AO29" s="9" t="str">
        <f t="shared" si="23"/>
        <v/>
      </c>
      <c r="AP29" s="9" t="str">
        <f t="shared" si="23"/>
        <v/>
      </c>
      <c r="AQ29" s="20" t="str">
        <f t="shared" si="10"/>
        <v/>
      </c>
    </row>
    <row r="30" spans="1:43" ht="19.5" customHeight="1">
      <c r="A30" s="88">
        <v>15</v>
      </c>
      <c r="B30" s="222"/>
      <c r="C30" s="112"/>
      <c r="D30" s="112"/>
      <c r="E30" s="113"/>
      <c r="F30" s="89"/>
      <c r="G30" s="34"/>
      <c r="H30" s="34"/>
      <c r="I30" s="35"/>
      <c r="J30" s="36"/>
      <c r="K30" s="37" t="str">
        <f t="shared" si="0"/>
        <v/>
      </c>
      <c r="L30" s="38"/>
      <c r="M30" s="33"/>
      <c r="N30" s="34"/>
      <c r="O30" s="34"/>
      <c r="P30" s="35"/>
      <c r="Q30" s="36"/>
      <c r="R30" s="37" t="str">
        <f t="shared" si="1"/>
        <v/>
      </c>
      <c r="S30" s="38"/>
      <c r="T30" s="33"/>
      <c r="U30" s="34"/>
      <c r="V30" s="34"/>
      <c r="W30" s="35"/>
      <c r="X30" s="36"/>
      <c r="Y30" s="37" t="str">
        <f t="shared" si="2"/>
        <v/>
      </c>
      <c r="Z30" s="38"/>
      <c r="AA30" s="33"/>
      <c r="AB30" s="34"/>
      <c r="AC30" s="34"/>
      <c r="AD30" s="35"/>
      <c r="AE30" s="36"/>
      <c r="AF30" s="37" t="str">
        <f t="shared" si="3"/>
        <v/>
      </c>
      <c r="AG30" s="38"/>
      <c r="AH30" s="89" t="str">
        <f t="shared" si="4"/>
        <v/>
      </c>
      <c r="AI30" s="34" t="str">
        <f t="shared" si="5"/>
        <v/>
      </c>
      <c r="AJ30" s="34" t="str">
        <f t="shared" si="6"/>
        <v/>
      </c>
      <c r="AK30" s="34" t="str">
        <f t="shared" si="7"/>
        <v/>
      </c>
      <c r="AL30" s="37" t="str">
        <f t="shared" si="8"/>
        <v/>
      </c>
      <c r="AM30" s="33" t="str">
        <f t="shared" ref="AM30:AP30" si="24">IF(AH30=0,"",IF(AH30&lt;=10,"C",IF(AH30&lt;=13,"B",IF(AH30&lt;=17,"A",IF(AH30&lt;=20,"AD","")))))</f>
        <v/>
      </c>
      <c r="AN30" s="34" t="str">
        <f t="shared" si="24"/>
        <v/>
      </c>
      <c r="AO30" s="34" t="str">
        <f t="shared" si="24"/>
        <v/>
      </c>
      <c r="AP30" s="34" t="str">
        <f t="shared" si="24"/>
        <v/>
      </c>
      <c r="AQ30" s="39" t="str">
        <f t="shared" si="10"/>
        <v/>
      </c>
    </row>
    <row r="31" spans="1:43" ht="15.75" customHeight="1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2"/>
    </row>
    <row r="32" spans="1:43" ht="19.5" customHeight="1">
      <c r="A32" s="40"/>
      <c r="B32" s="41"/>
      <c r="C32" s="41"/>
      <c r="D32" s="41"/>
      <c r="E32" s="43" t="s">
        <v>24</v>
      </c>
      <c r="F32" s="91">
        <f>SUM(AL16:AL30)</f>
        <v>0</v>
      </c>
      <c r="G32" s="92"/>
      <c r="H32" s="41"/>
      <c r="I32" s="41"/>
      <c r="J32" s="41"/>
      <c r="K32" s="168" t="s">
        <v>25</v>
      </c>
      <c r="L32" s="169"/>
      <c r="M32" s="169"/>
      <c r="N32" s="170"/>
      <c r="O32" s="171">
        <v>11</v>
      </c>
      <c r="P32" s="169"/>
      <c r="Q32" s="170"/>
      <c r="R32" s="172">
        <f>O32/O32</f>
        <v>1</v>
      </c>
      <c r="S32" s="169"/>
      <c r="T32" s="92"/>
      <c r="U32" s="41"/>
      <c r="V32" s="41"/>
      <c r="W32" s="173" t="s">
        <v>26</v>
      </c>
      <c r="X32" s="169"/>
      <c r="Y32" s="170"/>
      <c r="Z32" s="44"/>
      <c r="AA32" s="45" t="s">
        <v>27</v>
      </c>
      <c r="AB32" s="174" t="s">
        <v>28</v>
      </c>
      <c r="AC32" s="92"/>
      <c r="AD32" s="6"/>
      <c r="AE32" s="6"/>
      <c r="AF32" s="6"/>
      <c r="AG32" s="6"/>
      <c r="AH32" s="41"/>
      <c r="AI32" s="41"/>
      <c r="AJ32" s="41"/>
      <c r="AK32" s="41"/>
      <c r="AL32" s="41"/>
      <c r="AM32" s="41"/>
      <c r="AN32" s="41"/>
      <c r="AO32" s="41"/>
      <c r="AP32" s="41"/>
      <c r="AQ32" s="42"/>
    </row>
    <row r="33" spans="1:43" ht="19.5" customHeight="1">
      <c r="A33" s="40"/>
      <c r="B33" s="41"/>
      <c r="C33" s="41"/>
      <c r="D33" s="41"/>
      <c r="E33" s="46" t="s">
        <v>29</v>
      </c>
      <c r="F33" s="180">
        <f>MAX(AL16:AL30)</f>
        <v>0</v>
      </c>
      <c r="G33" s="160"/>
      <c r="H33" s="41"/>
      <c r="I33" s="41"/>
      <c r="J33" s="41"/>
      <c r="K33" s="178" t="s">
        <v>30</v>
      </c>
      <c r="L33" s="133"/>
      <c r="M33" s="133"/>
      <c r="N33" s="134"/>
      <c r="O33" s="132">
        <f>COUNTIF(AL16:AL30,"&gt;0")</f>
        <v>0</v>
      </c>
      <c r="P33" s="133"/>
      <c r="Q33" s="134"/>
      <c r="R33" s="179">
        <f>O33/O32</f>
        <v>0</v>
      </c>
      <c r="S33" s="133"/>
      <c r="T33" s="160"/>
      <c r="U33" s="41"/>
      <c r="V33" s="41"/>
      <c r="W33" s="47" t="s">
        <v>31</v>
      </c>
      <c r="X33" s="132" t="s">
        <v>32</v>
      </c>
      <c r="Y33" s="134"/>
      <c r="Z33" s="48"/>
      <c r="AA33" s="49">
        <f>COUNTIFS(AL16:AL30,"&lt;=20",AL16:AL30,"&gt;=18")</f>
        <v>0</v>
      </c>
      <c r="AB33" s="179" t="e">
        <f t="shared" ref="AB33:AB36" si="25">AA33/$O$33</f>
        <v>#DIV/0!</v>
      </c>
      <c r="AC33" s="160"/>
      <c r="AD33" s="3"/>
      <c r="AE33" s="3"/>
      <c r="AF33" s="3"/>
      <c r="AG33" s="3"/>
      <c r="AH33" s="41"/>
      <c r="AI33" s="41"/>
      <c r="AJ33" s="41"/>
      <c r="AK33" s="41"/>
      <c r="AL33" s="41"/>
      <c r="AM33" s="41"/>
      <c r="AN33" s="41"/>
      <c r="AO33" s="41"/>
      <c r="AP33" s="41"/>
      <c r="AQ33" s="42"/>
    </row>
    <row r="34" spans="1:43" ht="19.5" customHeight="1">
      <c r="A34" s="40"/>
      <c r="B34" s="41"/>
      <c r="C34" s="41"/>
      <c r="D34" s="41"/>
      <c r="E34" s="46" t="s">
        <v>33</v>
      </c>
      <c r="F34" s="132"/>
      <c r="G34" s="160"/>
      <c r="H34" s="41"/>
      <c r="I34" s="41"/>
      <c r="J34" s="41"/>
      <c r="K34" s="178" t="s">
        <v>34</v>
      </c>
      <c r="L34" s="133"/>
      <c r="M34" s="133"/>
      <c r="N34" s="134"/>
      <c r="O34" s="132">
        <f>O32-O33</f>
        <v>11</v>
      </c>
      <c r="P34" s="133"/>
      <c r="Q34" s="134"/>
      <c r="R34" s="179">
        <f t="shared" ref="R34:R35" si="26">O34/O32</f>
        <v>1</v>
      </c>
      <c r="S34" s="133"/>
      <c r="T34" s="160"/>
      <c r="U34" s="41"/>
      <c r="V34" s="41"/>
      <c r="W34" s="47" t="s">
        <v>35</v>
      </c>
      <c r="X34" s="132" t="s">
        <v>36</v>
      </c>
      <c r="Y34" s="134"/>
      <c r="Z34" s="48"/>
      <c r="AA34" s="49">
        <f>COUNTIFS(AL16:AL30,"&lt;=17",AL16:AL30,"&gt;=14")</f>
        <v>0</v>
      </c>
      <c r="AB34" s="179" t="e">
        <f t="shared" si="25"/>
        <v>#DIV/0!</v>
      </c>
      <c r="AC34" s="160"/>
      <c r="AD34" s="3"/>
      <c r="AE34" s="3"/>
      <c r="AF34" s="3"/>
      <c r="AG34" s="3"/>
      <c r="AH34" s="41"/>
      <c r="AI34" s="41"/>
      <c r="AJ34" s="41"/>
      <c r="AK34" s="41"/>
      <c r="AL34" s="41"/>
      <c r="AM34" s="41"/>
      <c r="AN34" s="41"/>
      <c r="AO34" s="41"/>
      <c r="AP34" s="41"/>
      <c r="AQ34" s="42"/>
    </row>
    <row r="35" spans="1:43" ht="19.5" customHeight="1">
      <c r="A35" s="40"/>
      <c r="B35" s="41"/>
      <c r="C35" s="41"/>
      <c r="D35" s="41"/>
      <c r="E35" s="50" t="s">
        <v>37</v>
      </c>
      <c r="F35" s="166"/>
      <c r="G35" s="113"/>
      <c r="H35" s="41"/>
      <c r="I35" s="41"/>
      <c r="J35" s="41"/>
      <c r="K35" s="178" t="s">
        <v>38</v>
      </c>
      <c r="L35" s="133"/>
      <c r="M35" s="133"/>
      <c r="N35" s="134"/>
      <c r="O35" s="132">
        <f>COUNTIF(AL16:AL30,"&gt;=11")</f>
        <v>0</v>
      </c>
      <c r="P35" s="133"/>
      <c r="Q35" s="134"/>
      <c r="R35" s="179" t="e">
        <f t="shared" si="26"/>
        <v>#DIV/0!</v>
      </c>
      <c r="S35" s="133"/>
      <c r="T35" s="160"/>
      <c r="U35" s="41"/>
      <c r="V35" s="41"/>
      <c r="W35" s="47" t="s">
        <v>39</v>
      </c>
      <c r="X35" s="132" t="s">
        <v>40</v>
      </c>
      <c r="Y35" s="134"/>
      <c r="Z35" s="48"/>
      <c r="AA35" s="49">
        <f>COUNTIFS(AL16:AL30,"&lt;=13",AL16:AL30,"&gt;=11")</f>
        <v>0</v>
      </c>
      <c r="AB35" s="179" t="e">
        <f t="shared" si="25"/>
        <v>#DIV/0!</v>
      </c>
      <c r="AC35" s="160"/>
      <c r="AD35" s="3"/>
      <c r="AE35" s="3"/>
      <c r="AF35" s="3"/>
      <c r="AG35" s="3"/>
      <c r="AH35" s="41"/>
      <c r="AI35" s="41"/>
      <c r="AJ35" s="41"/>
      <c r="AK35" s="41"/>
      <c r="AL35" s="41"/>
      <c r="AM35" s="41"/>
      <c r="AN35" s="41"/>
      <c r="AO35" s="41"/>
      <c r="AP35" s="41"/>
      <c r="AQ35" s="42"/>
    </row>
    <row r="36" spans="1:43" ht="19.5" customHeight="1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177" t="s">
        <v>41</v>
      </c>
      <c r="L36" s="112"/>
      <c r="M36" s="112"/>
      <c r="N36" s="128"/>
      <c r="O36" s="166">
        <f>O33-O35</f>
        <v>0</v>
      </c>
      <c r="P36" s="112"/>
      <c r="Q36" s="128"/>
      <c r="R36" s="167" t="e">
        <f>O36/O33</f>
        <v>#DIV/0!</v>
      </c>
      <c r="S36" s="112"/>
      <c r="T36" s="113"/>
      <c r="U36" s="41"/>
      <c r="V36" s="41"/>
      <c r="W36" s="51" t="s">
        <v>42</v>
      </c>
      <c r="X36" s="166" t="s">
        <v>43</v>
      </c>
      <c r="Y36" s="128"/>
      <c r="Z36" s="52"/>
      <c r="AA36" s="53">
        <f>COUNTIFS(AL16:AL30,"&lt;=10",AL16:AL30,"&gt;=0")</f>
        <v>0</v>
      </c>
      <c r="AB36" s="167" t="e">
        <f t="shared" si="25"/>
        <v>#DIV/0!</v>
      </c>
      <c r="AC36" s="113"/>
      <c r="AD36" s="3"/>
      <c r="AE36" s="3"/>
      <c r="AF36" s="3"/>
      <c r="AG36" s="3"/>
      <c r="AH36" s="41"/>
      <c r="AI36" s="41"/>
      <c r="AJ36" s="41"/>
      <c r="AK36" s="41"/>
      <c r="AL36" s="41"/>
      <c r="AM36" s="41"/>
      <c r="AN36" s="41"/>
      <c r="AO36" s="41"/>
      <c r="AP36" s="41"/>
      <c r="AQ36" s="42"/>
    </row>
    <row r="37" spans="1:43" ht="15.75" customHeight="1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2"/>
    </row>
    <row r="38" spans="1:43" ht="19.5" customHeight="1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175"/>
      <c r="AE38" s="106"/>
      <c r="AF38" s="54"/>
      <c r="AG38" s="80" t="s">
        <v>51</v>
      </c>
      <c r="AH38" s="81">
        <v>22</v>
      </c>
      <c r="AI38" s="55">
        <v>5</v>
      </c>
      <c r="AJ38" s="56">
        <v>24</v>
      </c>
      <c r="AK38" s="41"/>
      <c r="AL38" s="41"/>
      <c r="AM38" s="41"/>
      <c r="AN38" s="41"/>
      <c r="AO38" s="41"/>
      <c r="AP38" s="41"/>
      <c r="AQ38" s="42"/>
    </row>
    <row r="39" spans="1:43" ht="15.75" customHeight="1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2"/>
    </row>
    <row r="40" spans="1:43" ht="15.75" customHeight="1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2"/>
    </row>
    <row r="41" spans="1:43" ht="15.75" customHeight="1">
      <c r="A41" s="57"/>
      <c r="B41" s="58"/>
      <c r="C41" s="58"/>
      <c r="D41" s="58"/>
      <c r="E41" s="59" t="s">
        <v>45</v>
      </c>
      <c r="F41" s="58"/>
      <c r="G41" s="58"/>
      <c r="H41" s="58"/>
      <c r="I41" s="58"/>
      <c r="J41" s="58"/>
      <c r="K41" s="58"/>
      <c r="L41" s="58"/>
      <c r="M41" s="58"/>
      <c r="N41" s="165" t="s">
        <v>46</v>
      </c>
      <c r="O41" s="112"/>
      <c r="P41" s="112"/>
      <c r="Q41" s="112"/>
      <c r="R41" s="112"/>
      <c r="S41" s="112"/>
      <c r="T41" s="112"/>
      <c r="U41" s="112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60"/>
    </row>
    <row r="42" spans="1:43" ht="15.75" customHeight="1"/>
    <row r="43" spans="1:43" ht="15.75" customHeight="1"/>
    <row r="44" spans="1:43" ht="15.75" customHeight="1"/>
    <row r="45" spans="1:43" ht="15.75" customHeight="1"/>
    <row r="46" spans="1:43" ht="15.75" customHeight="1"/>
    <row r="47" spans="1:43" ht="15.75" customHeight="1"/>
    <row r="48" spans="1:4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08">
    <mergeCell ref="L6:L15"/>
    <mergeCell ref="M6:R7"/>
    <mergeCell ref="F6:K7"/>
    <mergeCell ref="T6:Y7"/>
    <mergeCell ref="AG5:AG15"/>
    <mergeCell ref="AF8:AF15"/>
    <mergeCell ref="H8:H15"/>
    <mergeCell ref="I8:I15"/>
    <mergeCell ref="J8:J15"/>
    <mergeCell ref="K8:K15"/>
    <mergeCell ref="T8:T15"/>
    <mergeCell ref="U8:U15"/>
    <mergeCell ref="F1:AQ2"/>
    <mergeCell ref="F3:H3"/>
    <mergeCell ref="O3:Q3"/>
    <mergeCell ref="R3:V3"/>
    <mergeCell ref="W3:AA3"/>
    <mergeCell ref="F5:AF5"/>
    <mergeCell ref="S7:S15"/>
    <mergeCell ref="AB3:AE3"/>
    <mergeCell ref="AH3:AI3"/>
    <mergeCell ref="I3:N3"/>
    <mergeCell ref="I4:V4"/>
    <mergeCell ref="W4:AA4"/>
    <mergeCell ref="AB4:AE4"/>
    <mergeCell ref="AH4:AI4"/>
    <mergeCell ref="AJ4:AQ4"/>
    <mergeCell ref="AJ3:AQ3"/>
    <mergeCell ref="AQ5:AQ15"/>
    <mergeCell ref="R8:R15"/>
    <mergeCell ref="P8:P15"/>
    <mergeCell ref="Q8:Q15"/>
    <mergeCell ref="V8:V15"/>
    <mergeCell ref="W8:W15"/>
    <mergeCell ref="X8:X15"/>
    <mergeCell ref="Y8:Y15"/>
    <mergeCell ref="M8:M15"/>
    <mergeCell ref="N8:N15"/>
    <mergeCell ref="O8:O15"/>
    <mergeCell ref="K32:N32"/>
    <mergeCell ref="O32:Q32"/>
    <mergeCell ref="R32:T32"/>
    <mergeCell ref="O35:Q35"/>
    <mergeCell ref="R35:T35"/>
    <mergeCell ref="O34:Q34"/>
    <mergeCell ref="R34:T34"/>
    <mergeCell ref="W32:Y32"/>
    <mergeCell ref="O33:Q33"/>
    <mergeCell ref="R33:T33"/>
    <mergeCell ref="N41:U41"/>
    <mergeCell ref="O36:Q36"/>
    <mergeCell ref="R36:T36"/>
    <mergeCell ref="X36:Y36"/>
    <mergeCell ref="AD38:AE38"/>
    <mergeCell ref="F35:G35"/>
    <mergeCell ref="X35:Y35"/>
    <mergeCell ref="X34:Y34"/>
    <mergeCell ref="X33:Y33"/>
    <mergeCell ref="K36:N36"/>
    <mergeCell ref="K35:N35"/>
    <mergeCell ref="F34:G34"/>
    <mergeCell ref="K34:N34"/>
    <mergeCell ref="K33:N33"/>
    <mergeCell ref="F33:G33"/>
    <mergeCell ref="AH6:AH15"/>
    <mergeCell ref="AI6:AI15"/>
    <mergeCell ref="AJ6:AJ15"/>
    <mergeCell ref="AK6:AK15"/>
    <mergeCell ref="AP6:AP15"/>
    <mergeCell ref="AM6:AM15"/>
    <mergeCell ref="AH5:AK5"/>
    <mergeCell ref="AL5:AL15"/>
    <mergeCell ref="AN6:AN15"/>
    <mergeCell ref="AO6:AO15"/>
    <mergeCell ref="AM5:AP5"/>
    <mergeCell ref="Z6:Z15"/>
    <mergeCell ref="AA8:AA15"/>
    <mergeCell ref="AB8:AB15"/>
    <mergeCell ref="AC8:AC15"/>
    <mergeCell ref="AD8:AD15"/>
    <mergeCell ref="AE8:AE15"/>
    <mergeCell ref="AB36:AC36"/>
    <mergeCell ref="AB35:AC35"/>
    <mergeCell ref="AB34:AC34"/>
    <mergeCell ref="AB32:AC32"/>
    <mergeCell ref="AB33:AC33"/>
    <mergeCell ref="AA6:AF7"/>
    <mergeCell ref="F32:G32"/>
    <mergeCell ref="A1:D4"/>
    <mergeCell ref="A5:A15"/>
    <mergeCell ref="B5:E15"/>
    <mergeCell ref="B28:E28"/>
    <mergeCell ref="B22:E22"/>
    <mergeCell ref="B23:E23"/>
    <mergeCell ref="B24:E24"/>
    <mergeCell ref="B25:E25"/>
    <mergeCell ref="B26:E26"/>
    <mergeCell ref="B27:E27"/>
    <mergeCell ref="B29:E29"/>
    <mergeCell ref="B30:E30"/>
    <mergeCell ref="B16:E16"/>
    <mergeCell ref="B17:E17"/>
    <mergeCell ref="B18:E18"/>
    <mergeCell ref="B19:E19"/>
    <mergeCell ref="B20:E20"/>
    <mergeCell ref="B21:E21"/>
    <mergeCell ref="F8:F15"/>
    <mergeCell ref="G8:G15"/>
  </mergeCells>
  <conditionalFormatting sqref="F17:J30 T17:X30 AH16:AL30 M16:M28 M29:Q30 AA27:AE30 K16:K30 R16:R30 Y16:Y30 AF16:AF30">
    <cfRule type="cellIs" dxfId="33" priority="1" operator="equal">
      <formula>10.5</formula>
    </cfRule>
  </conditionalFormatting>
  <conditionalFormatting sqref="F17:J30 T17:X30 AH16:AL30 M16:M28 M29:Q30 AA27:AE30 K16:K30 R16:R30 Y16:Y30 AF16:AF30">
    <cfRule type="cellIs" dxfId="32" priority="2" operator="lessThan">
      <formula>0</formula>
    </cfRule>
  </conditionalFormatting>
  <conditionalFormatting sqref="F17:J30 T17:X30 AH16:AL30 M16:M28 M29:Q30 AA27:AE30 K16:K30 R16:R30 Y16:Y30 AF16:AF30">
    <cfRule type="cellIs" dxfId="31" priority="3" operator="lessThan">
      <formula>10.5</formula>
    </cfRule>
  </conditionalFormatting>
  <conditionalFormatting sqref="F17:J30 T17:X30 AH16:AL30 M16:M28 M29:Q30 AA27:AE30 K16:K30 R16:R30 Y16:Y30 AF16:AF30">
    <cfRule type="cellIs" dxfId="30" priority="4" operator="greaterThan">
      <formula>20</formula>
    </cfRule>
  </conditionalFormatting>
  <conditionalFormatting sqref="F17:J30 T17:X30 AH16:AL30 M16:M28 M29:Q30 AA27:AE30 K16:K30 R16:R30 Y16:Y30 AF16:AF30">
    <cfRule type="cellIs" dxfId="29" priority="5" operator="greaterThan">
      <formula>10.5</formula>
    </cfRule>
  </conditionalFormatting>
  <conditionalFormatting sqref="N16:Q28">
    <cfRule type="cellIs" dxfId="28" priority="21" operator="equal">
      <formula>10.5</formula>
    </cfRule>
  </conditionalFormatting>
  <conditionalFormatting sqref="N16:Q28">
    <cfRule type="cellIs" dxfId="27" priority="22" operator="lessThan">
      <formula>0</formula>
    </cfRule>
  </conditionalFormatting>
  <conditionalFormatting sqref="N16:Q28">
    <cfRule type="cellIs" dxfId="26" priority="23" operator="lessThan">
      <formula>10.5</formula>
    </cfRule>
  </conditionalFormatting>
  <conditionalFormatting sqref="N16:Q28">
    <cfRule type="cellIs" dxfId="25" priority="24" operator="greaterThan">
      <formula>20</formula>
    </cfRule>
  </conditionalFormatting>
  <conditionalFormatting sqref="N16:Q28">
    <cfRule type="cellIs" dxfId="24" priority="25" operator="greaterThan">
      <formula>10.5</formula>
    </cfRule>
  </conditionalFormatting>
  <conditionalFormatting sqref="AM16:AQ30">
    <cfRule type="cellIs" dxfId="23" priority="26" operator="equal">
      <formula>"C"</formula>
    </cfRule>
  </conditionalFormatting>
  <conditionalFormatting sqref="AM16:AQ30">
    <cfRule type="cellIs" dxfId="22" priority="27" operator="equal">
      <formula>"B"</formula>
    </cfRule>
  </conditionalFormatting>
  <conditionalFormatting sqref="AM16:AQ30">
    <cfRule type="cellIs" dxfId="21" priority="28" operator="equal">
      <formula>"A"</formula>
    </cfRule>
  </conditionalFormatting>
  <conditionalFormatting sqref="AM16:AQ30">
    <cfRule type="cellIs" dxfId="20" priority="29" operator="equal">
      <formula>"AD"</formula>
    </cfRule>
  </conditionalFormatting>
  <conditionalFormatting sqref="F16:J16">
    <cfRule type="cellIs" dxfId="19" priority="55" operator="equal">
      <formula>10.5</formula>
    </cfRule>
  </conditionalFormatting>
  <conditionalFormatting sqref="F16:J16">
    <cfRule type="cellIs" dxfId="18" priority="56" operator="lessThan">
      <formula>0</formula>
    </cfRule>
  </conditionalFormatting>
  <conditionalFormatting sqref="F16:J16">
    <cfRule type="cellIs" dxfId="17" priority="57" operator="lessThan">
      <formula>10.5</formula>
    </cfRule>
  </conditionalFormatting>
  <conditionalFormatting sqref="F16:J16">
    <cfRule type="cellIs" dxfId="16" priority="58" operator="greaterThan">
      <formula>20</formula>
    </cfRule>
  </conditionalFormatting>
  <conditionalFormatting sqref="F16:J16">
    <cfRule type="cellIs" dxfId="15" priority="59" operator="greaterThan">
      <formula>10.5</formula>
    </cfRule>
  </conditionalFormatting>
  <conditionalFormatting sqref="T16:X16">
    <cfRule type="cellIs" dxfId="14" priority="60" operator="equal">
      <formula>10.5</formula>
    </cfRule>
  </conditionalFormatting>
  <conditionalFormatting sqref="T16:X16">
    <cfRule type="cellIs" dxfId="13" priority="61" operator="lessThan">
      <formula>0</formula>
    </cfRule>
  </conditionalFormatting>
  <conditionalFormatting sqref="T16:X16">
    <cfRule type="cellIs" dxfId="12" priority="62" operator="lessThan">
      <formula>10.5</formula>
    </cfRule>
  </conditionalFormatting>
  <conditionalFormatting sqref="T16:X16">
    <cfRule type="cellIs" dxfId="11" priority="63" operator="greaterThan">
      <formula>20</formula>
    </cfRule>
  </conditionalFormatting>
  <conditionalFormatting sqref="T16:X16">
    <cfRule type="cellIs" dxfId="10" priority="64" operator="greaterThan">
      <formula>10.5</formula>
    </cfRule>
  </conditionalFormatting>
  <conditionalFormatting sqref="AA17:AE26">
    <cfRule type="cellIs" dxfId="9" priority="65" operator="equal">
      <formula>10.5</formula>
    </cfRule>
  </conditionalFormatting>
  <conditionalFormatting sqref="AA17:AE26">
    <cfRule type="cellIs" dxfId="8" priority="66" operator="lessThan">
      <formula>0</formula>
    </cfRule>
  </conditionalFormatting>
  <conditionalFormatting sqref="AA17:AE26">
    <cfRule type="cellIs" dxfId="7" priority="67" operator="lessThan">
      <formula>10.5</formula>
    </cfRule>
  </conditionalFormatting>
  <conditionalFormatting sqref="AA17:AE26">
    <cfRule type="cellIs" dxfId="6" priority="68" operator="greaterThan">
      <formula>20</formula>
    </cfRule>
  </conditionalFormatting>
  <conditionalFormatting sqref="AA17:AE26">
    <cfRule type="cellIs" dxfId="5" priority="69" operator="greaterThan">
      <formula>10.5</formula>
    </cfRule>
  </conditionalFormatting>
  <conditionalFormatting sqref="AA16:AE16">
    <cfRule type="cellIs" dxfId="4" priority="70" operator="equal">
      <formula>10.5</formula>
    </cfRule>
  </conditionalFormatting>
  <conditionalFormatting sqref="AA16:AE16">
    <cfRule type="cellIs" dxfId="3" priority="71" operator="lessThan">
      <formula>0</formula>
    </cfRule>
  </conditionalFormatting>
  <conditionalFormatting sqref="AA16:AE16">
    <cfRule type="cellIs" dxfId="2" priority="72" operator="lessThan">
      <formula>10.5</formula>
    </cfRule>
  </conditionalFormatting>
  <conditionalFormatting sqref="AA16:AE16">
    <cfRule type="cellIs" dxfId="1" priority="73" operator="greaterThan">
      <formula>20</formula>
    </cfRule>
  </conditionalFormatting>
  <conditionalFormatting sqref="AA16:AE16">
    <cfRule type="cellIs" dxfId="0" priority="74" operator="greaterThan">
      <formula>10.5</formula>
    </cfRule>
  </conditionalFormatting>
  <printOptions horizontalCentered="1" verticalCentered="1"/>
  <pageMargins left="0" right="0" top="0" bottom="0" header="0" footer="0"/>
  <pageSetup paperSize="9" scale="5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1°</vt:lpstr>
      <vt:lpstr>2°</vt:lpstr>
      <vt:lpstr>3° </vt:lpstr>
      <vt:lpstr>4° </vt:lpstr>
      <vt:lpstr>5°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 system</dc:creator>
  <cp:lastModifiedBy>USUARIO</cp:lastModifiedBy>
  <cp:lastPrinted>2026-06-04T16:56:38Z</cp:lastPrinted>
  <dcterms:created xsi:type="dcterms:W3CDTF">2013-03-07T21:24:14Z</dcterms:created>
  <dcterms:modified xsi:type="dcterms:W3CDTF">2026-06-04T17:09:20Z</dcterms:modified>
</cp:coreProperties>
</file>